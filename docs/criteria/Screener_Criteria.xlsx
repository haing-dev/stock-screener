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riteria" sheetId="1" state="visible" r:id="rId3"/>
    <sheet name="Valuation" sheetId="2" state="visible" r:id="rId4"/>
    <sheet name="Summary" sheetId="3" state="visible" r:id="rId5"/>
  </sheets>
  <definedNames>
    <definedName function="false" hidden="true" localSheetId="0" name="_xlnm._FilterDatabase" vbProcedure="false">Criteria!$A$1:$I$158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<sst xmlns="http://schemas.openxmlformats.org/spreadsheetml/2006/main" count="1492" uniqueCount="642">
  <si>
    <t xml:space="preserve">Screen</t>
  </si>
  <si>
    <t xml:space="preserve">ID</t>
  </si>
  <si>
    <t xml:space="preserve">Criterion</t>
  </si>
  <si>
    <t xml:space="preserve">Threshold</t>
  </si>
  <si>
    <t xml:space="preserve">Type</t>
  </si>
  <si>
    <t xml:space="preserve">Why it's there (investor rationale)</t>
  </si>
  <si>
    <t xml:space="preserve">What it adds to the thesis</t>
  </si>
  <si>
    <t xml:space="preserve">Verifiable now?</t>
  </si>
  <si>
    <t xml:space="preserve">Why not easy / caveat</t>
  </si>
  <si>
    <t xml:space="preserve">Core Compounders</t>
  </si>
  <si>
    <t xml:space="preserve">U</t>
  </si>
  <si>
    <t xml:space="preserve">Universe</t>
  </si>
  <si>
    <t xml:space="preserve">No funds/SPACs/REITs/shells; excludes banks, insurers, real estate, commodity producers, autos, airlines, telecom, utilities, media, ad agencies</t>
  </si>
  <si>
    <t xml:space="preserve">Chris Hohn states that leaving out banks, airlines, wireless telecom, media and ad agencies means avoiding what he calls bad businesses, because they face heavy competition or, for banks, high leverage, so profits are fragile. A mentioned example: air travel grew about 5% a year for a century, yet airlines collectively made minimal profits. Pat Dorsey states that excluding industries like airlines, auto parts, life insurance and oil and gas means avoiding price takers, because a large part of their future is not under their control. No specific past example given. Terry Smith states that dropping low-return sectors makes sense because good-company sectors don't become bad ones and vice versa; low-return industries stay low. A mentioned example: the airline industry, which he says never makes an adequate return on capital.</t>
  </si>
  <si>
    <t xml:space="preserve">Only businesses that can have pricing power.</t>
  </si>
  <si>
    <t xml:space="preserve">Easy</t>
  </si>
  <si>
    <t xml:space="preserve">Uses SEC industry (SIC) code; codes can be coarse or outdated (manual override list exists).</t>
  </si>
  <si>
    <t xml:space="preserve">G1</t>
  </si>
  <si>
    <t xml:space="preserve">History</t>
  </si>
  <si>
    <t xml:space="preserve">&gt;= 8 years of data</t>
  </si>
  <si>
    <t xml:space="preserve">Data</t>
  </si>
  <si>
    <t xml:space="preserve">Dev Kantesaria states that a long record matters because a company only meets his bar for predictability if he is confident it stays dominant for at least the next 10 years, and he prefers business models that have already worked for decades. No specific past example given. Chris Hohn states that a long history is informative because "good companies stay good and bad companies stay bad": barriers to entry persist, though only if you judged quality right in the first place. No specific past example given.</t>
  </si>
  <si>
    <t xml:space="preserve">Proves durability.</t>
  </si>
  <si>
    <t xml:space="preserve">G2</t>
  </si>
  <si>
    <t xml:space="preserve">Recent report</t>
  </si>
  <si>
    <t xml:space="preserve">Last annual report &lt;= 1.6 years old</t>
  </si>
  <si>
    <t xml:space="preserve">No investor source: old financial statements can hide a recent collapse, so the latest annual report must be current.</t>
  </si>
  <si>
    <t xml:space="preserve">Keeps the screen current.</t>
  </si>
  <si>
    <t xml:space="preserve">Rare: some foreign (20-F) reports filed but not yet in SEC XBRL data -&gt; flagged.</t>
  </si>
  <si>
    <t xml:space="preserve">G3</t>
  </si>
  <si>
    <t xml:space="preserve">Size (revenue)</t>
  </si>
  <si>
    <t xml:space="preserve">Revenue &gt;= $200M</t>
  </si>
  <si>
    <t xml:space="preserve">Size</t>
  </si>
  <si>
    <t xml:space="preserve">No investor source: very small filers have patchier data and are harder to own in meaningful size.</t>
  </si>
  <si>
    <t xml:space="preserve">Focus on established businesses.</t>
  </si>
  <si>
    <t xml:space="preserve">G4</t>
  </si>
  <si>
    <t xml:space="preserve">Consistent profits</t>
  </si>
  <si>
    <t xml:space="preserve">&lt;= 1 operating-loss year in 10</t>
  </si>
  <si>
    <t xml:space="preserve">Quality</t>
  </si>
  <si>
    <t xml:space="preserve">Dev Kantesaria states that steady profits signal predictability, which he will not give up, because he hates losing money and avoids anything that "could go down 90% tomorrow"; quality means growth and predictability together. A mentioned example: young software firms are too unpredictable, while Nestlé or Hershey are predictable but too slow.</t>
  </si>
  <si>
    <t xml:space="preserve">Predictability.</t>
  </si>
  <si>
    <t xml:space="preserve">G5a</t>
  </si>
  <si>
    <t xml:space="preserve">High returns (median)</t>
  </si>
  <si>
    <t xml:space="preserve">10-yr median ROIC &gt;= 15%</t>
  </si>
  <si>
    <t xml:space="preserve">Pat Dorsey states that a high return on capital for many years is the sign of a moat, because Morningstar's moat work started by studying every company earning over 15% on capital for over 15 years (numbers he calls arbitrary). He warns ROIC can mislead where investment is expensed. No specific past example given. Terry Smith states that a high return on capital is "the single most important thing", because over a long hold your return converges on what the business earns. A mentioned example: Munger's point that a business earning 6% on capital for 40 years returns about 6% even if bought at a huge discount.</t>
  </si>
  <si>
    <t xml:space="preserve">Moat evidence (core of the thesis).</t>
  </si>
  <si>
    <t xml:space="preserve">Rare: debt in non-standard tags or D&amp;A untagged -&gt; flagged.</t>
  </si>
  <si>
    <t xml:space="preserve">G5b</t>
  </si>
  <si>
    <t xml:space="preserve">High returns (consistency)</t>
  </si>
  <si>
    <t xml:space="preserve">&gt;= 80% of years with ROIC &gt;= 10%</t>
  </si>
  <si>
    <t xml:space="preserve">Terry Smith states that returns held year after year signal lasting quality, because "Good companies don't become bad companies by and large or vice versa". A mentioned example: in data back to 1966, high-ROE companies stayed clustered around 20%, still well above the low-return group decades later. Pat Dorsey states that returns that keep holding up show a moat at work, because a moat lengthens the time before returns on capital decline to the cost of capital, so the company can keep reinvesting at high rates. No specific past example given.</t>
  </si>
  <si>
    <t xml:space="preserve">Moat is persistent, not a spike.</t>
  </si>
  <si>
    <t xml:space="preserve">G6</t>
  </si>
  <si>
    <t xml:space="preserve">Growth</t>
  </si>
  <si>
    <t xml:space="preserve">10-yr revenue CAGR &gt;= 5%</t>
  </si>
  <si>
    <t xml:space="preserve">Dev Kantesaria states that growth is half of quality, because a predictable company growing only 2-3% a year does not deliver strong long-term returns; he wants faster growth that is still predictable. A mentioned example: Nestlé and Hershey, which he calls extremely predictable but slow-growing. Pat Dorsey states that a reinvestment runway matters, because a company with an obvious place to put its cash is less likely to make a dumb acquisition or a badly timed buyback. A mentioned example: eBay, a great network-effect moat that ran out of room to grow once it had its market. Terry Smith states that growth is needed to reinvest cash at high returns, because high returns are wasted if the company is "landlocked" in a small niche or geography. No specific past example given.</t>
  </si>
  <si>
    <t xml:space="preserve">Runway to reinvest.</t>
  </si>
  <si>
    <t xml:space="preserve">Rare: tag changes cause fake revenue jumps -&gt; flagged.</t>
  </si>
  <si>
    <t xml:space="preserve">G7</t>
  </si>
  <si>
    <t xml:space="preserve">Cash conversion</t>
  </si>
  <si>
    <t xml:space="preserve">FCF / net income &gt;= 0.8</t>
  </si>
  <si>
    <t xml:space="preserve">Terry Smith states that profits must turn into cash, because his first test of a good company is a high return on capital in cash: cash delivered in a period divided by capital employed. A mentioned example: he put his own portfolio at about 25% on this measure (2022). Connor Haley states that free cash flow is a better guide than reported profits, because earnings and EBITDA "can be easily manipulated". No specific past example given.</t>
  </si>
  <si>
    <t xml:space="preserve">Earnings quality.</t>
  </si>
  <si>
    <t xml:space="preserve">Rare: capex not in a standard tag -&gt; estimated or flagged.</t>
  </si>
  <si>
    <t xml:space="preserve">G8</t>
  </si>
  <si>
    <t xml:space="preserve">Balance sheet</t>
  </si>
  <si>
    <t xml:space="preserve">Net debt / operating cash flow &lt;= 3x</t>
  </si>
  <si>
    <t xml:space="preserve">Safety</t>
  </si>
  <si>
    <t xml:space="preserve">Mala Gaonkar states that low debt matters because decent businesses she owned that were overlevered had much less room to maneuver when macro stress arrived; avoiding balance-sheet leverage, such as public LBOs, is one of her hard-learned lessons. A mentioned example: she names one such holding, spelled "Altis" in the captions, without further detail. Paul Singer states that surviving comes first, because big losses wreck judgment while intact capital lets you act in a crisis: "you make a buck you keep it". A mentioned example: he lost 88% of his parents' money on margin in 1974; in late 2008, "everything got cheap" for those with capital left.</t>
  </si>
  <si>
    <t xml:space="preserve">Survival / downside protection.</t>
  </si>
  <si>
    <t xml:space="preserve">Flag</t>
  </si>
  <si>
    <t xml:space="preserve">Margin collapse</t>
  </si>
  <si>
    <t xml:space="preserve">TTM operating margin &lt; half its 10-yr median</t>
  </si>
  <si>
    <t xml:space="preserve">Warning</t>
  </si>
  <si>
    <t xml:space="preserve">Pat Dorsey states that a moat shows up as returns that take a long time to fall to the cost of capital, so a sharp margin drop can mean the moat is weakening; but he warns margins can also fall because investment like sales and software development is expensed. No specific past example given.</t>
  </si>
  <si>
    <t xml:space="preserve">Stops buying a broken compounder.</t>
  </si>
  <si>
    <t xml:space="preserve">No</t>
  </si>
  <si>
    <t xml:space="preserve">Detected automatically; temporary vs permanent needs a human.</t>
  </si>
  <si>
    <t xml:space="preserve">Revenue shrinking</t>
  </si>
  <si>
    <t xml:space="preserve">3-yr revenue CAGR &lt; 0</t>
  </si>
  <si>
    <t xml:space="preserve">Terry Smith states that shrinking revenue must be judged across the cycle, because he wants secular, not cyclical, growth: each peak and trough should be bigger than the last, though growth needn't come every year. No specific past example given. Dev Kantesaria states that a volume drop is acceptable only if it is temporary, because a toll collector keeps raising prices and earns more when volume returns, while pricing to hide secular volume decline can backfire. A mentioned example: FICO's mortgage-score volume fell for years while it raised those prices 100% one year and over 40% the next.</t>
  </si>
  <si>
    <t xml:space="preserve">Same.</t>
  </si>
  <si>
    <t xml:space="preserve">Lost money in 2008-09</t>
  </si>
  <si>
    <t xml:space="preserve">Operating loss on falling sales in 2008-09</t>
  </si>
  <si>
    <t xml:space="preserve">Terry Smith states that a recession loss may expose cyclical rather than secular growth, because a real compounder's trough should still be bigger than its previous trough. No specific past example given. Stanley Druckenmiller states that profits holding up in a recession mean the stock is protected, because "if you have very good earnings in a recession and they're sustainable" the market eventually sees it. A mentioned example: in June 2023 he argued that if staples can rise in a recession, Nvidia could too, with orders and earnings up about 70% in a hard landing.</t>
  </si>
  <si>
    <t xml:space="preserve">Avoids mistaking a cycle for a moat.</t>
  </si>
  <si>
    <t xml:space="preserve">V</t>
  </si>
  <si>
    <t xml:space="preserve">Valuation</t>
  </si>
  <si>
    <t xml:space="preserve">None (price-blind by design); P/E, EV/EBITDA, FCF yield and peer medians shown only</t>
  </si>
  <si>
    <t xml:space="preserve">Terry Smith states that judging quality before price is right, because investors spend almost all their effort on whether a stock is cheap and far too little on whether the business is high-grade, and long-run returns follow the business. A mentioned example: Munger's point that a business earning 18% on capital for 20-30 years wins even at an expensive-looking price. Dev Kantesaria states that price should not decide inclusion, because a great compounder's value growth overcomes overpaying by 10 or 15%, and precise valuation is "a silly exercise". A mentioned example: he bought S&amp;P Global at $17.50 during the financial crisis; it is now over $500, compounding he says he never could have expected.</t>
  </si>
  <si>
    <t xml:space="preserve">Keeps great businesses on the list even when dear.</t>
  </si>
  <si>
    <t xml:space="preserve">n/a</t>
  </si>
  <si>
    <t xml:space="preserve">No 'cheap enough' test - see Valuation sheet.</t>
  </si>
  <si>
    <t xml:space="preserve">J</t>
  </si>
  <si>
    <t xml:space="preserve">Human / AI review</t>
  </si>
  <si>
    <t xml:space="preserve">Moat durability, switching costs, management and capital allocation, AI disruption, why mispriced</t>
  </si>
  <si>
    <t xml:space="preserve">Judgment</t>
  </si>
  <si>
    <t xml:space="preserve">Pat Dorsey states that moat durability needs human judgment, because "you can't screen for switching costs"; whether customers find it hard to switch is learned by talking to customers, ex-employees and salespeople. No specific past example given. Peter Thiel states that durability, not growth, drives most of a company's value, because growth is easy to measure today while whether a company still exists in a decade is hard to quantify. A mentioned example: about three-quarters of PayPal's value as of 2001 came from cash flows in 2011 and beyond. Connor Haley states that the review must ask why the stock might be mispriced, "the most important question in the investment process", because smart analysts with the same information usually price a stock fairly. No specific past example given.</t>
  </si>
  <si>
    <t xml:space="preserve">Decides whether the numbers reflect a real thesis.</t>
  </si>
  <si>
    <t xml:space="preserve">Qualitative; not in financial data. Left to the AI review + you.</t>
  </si>
  <si>
    <t xml:space="preserve">Emerging Compounders</t>
  </si>
  <si>
    <t xml:space="preserve">Core universe, also minus commodity materials (chemicals, paper, building materials, non-metal mining)</t>
  </si>
  <si>
    <t xml:space="preserve">Connor Haley states that leaving out commodity sectors means searching where lasting advantages are more common, because his team found energy, materials and financials rarely contain many businesses with real competitive edges. A mentioned example: Alta Fox's study of 104 multibaggers (2015-2020) excluded energy, materials and financials from the start. Terry Smith states that avoiding materials means avoiding a sector with persistently low returns, because returns on capital stay in place for decades and a low price does not turn a bad company into a good one. A mentioned example: in his sector data, materials sat with utilities, telecoms, transport, energy and retailing among the persistently low-return groups.</t>
  </si>
  <si>
    <t xml:space="preserve">Only potential niche winners.</t>
  </si>
  <si>
    <t xml:space="preserve">E1</t>
  </si>
  <si>
    <t xml:space="preserve">&gt;= 4 years of data</t>
  </si>
  <si>
    <t xml:space="preserve">No investor source: you need a few years of numbers before growth and margin trends can be measured at all.</t>
  </si>
  <si>
    <t xml:space="preserve">Makes trend rules meaningful.</t>
  </si>
  <si>
    <t xml:space="preserve">E2</t>
  </si>
  <si>
    <t xml:space="preserve">No investor source: a data-quality rule, because old annual numbers can hide a recent collapse.</t>
  </si>
  <si>
    <t xml:space="preserve">E3</t>
  </si>
  <si>
    <t xml:space="preserve">Already profitable</t>
  </si>
  <si>
    <t xml:space="preserve">TTM and last-FY EBITDA &gt; 0</t>
  </si>
  <si>
    <t xml:space="preserve">Connor Haley states that already having positive EBITDA means the company is a proven business, not a cash burner, because most big winners were past the profit turning point and were not losing money and diluting shareholders to survive. A mentioned example: in Alta Fox's study of 104 multibaggers (2015-2020), 88% already had positive EBITDA five years earlier.</t>
  </si>
  <si>
    <t xml:space="preserve">Cuts cash-burning stories.</t>
  </si>
  <si>
    <t xml:space="preserve">Rare: D&amp;A untagged -&gt; EBIT used.</t>
  </si>
  <si>
    <t xml:space="preserve">E4</t>
  </si>
  <si>
    <t xml:space="preserve">Fast growth</t>
  </si>
  <si>
    <t xml:space="preserve">3-yr revenue CAGR &gt;= 15%</t>
  </si>
  <si>
    <t xml:space="preserve">Connor Haley states that fast revenue growth means the company has the engine multibaggers need, because the big winners were growth businesses whose rising sales and profits got the market to re-rate them. A mentioned example: in Alta Fox's 104-stock study the median winner grew revenue 21% a year and EBITDA 28%; even the 25th percentile grew revenue 14% a year.</t>
  </si>
  <si>
    <t xml:space="preserve">The growth engine.</t>
  </si>
  <si>
    <t xml:space="preserve">E5</t>
  </si>
  <si>
    <t xml:space="preserve">Growth not fading</t>
  </si>
  <si>
    <t xml:space="preserve">Latest year-to-date growth &gt;= 8% (else last FY)</t>
  </si>
  <si>
    <t xml:space="preserve">Alex Sacerdote states that growth still running today means the main risk is not playing out, because "the biggest reason people blow up in tech is they miss on revenue". A mentioned example: US electric-car adoption stalled near 10%, so Whale Rock's rating of that S-curve fell from 10 out of 10 to zero and it stopped owning Tesla.</t>
  </si>
  <si>
    <t xml:space="preserve">Catches slowdowns early.</t>
  </si>
  <si>
    <t xml:space="preserve">Partly</t>
  </si>
  <si>
    <t xml:space="preserve">Foreign filers file no quarterly reports -&gt; uses last fiscal year (stale).</t>
  </si>
  <si>
    <t xml:space="preserve">E6</t>
  </si>
  <si>
    <t xml:space="preserve">Gross margin</t>
  </si>
  <si>
    <t xml:space="preserve">Gross margin &gt;= 35%</t>
  </si>
  <si>
    <t xml:space="preserve">Connor Haley states that a healthy gross margin means there is room for profit to grow faster than sales, because a company needs enough gross profit on each sale before spreading fixed costs can lift its margins. A mentioned example: in Alta Fox's study, the median multibagger had gross margins in the mid-40s% and EBITDA margins just over 10% at the start.</t>
  </si>
  <si>
    <t xml:space="preserve">Operating-leverage potential.</t>
  </si>
  <si>
    <t xml:space="preserve">Rare: no gross-profit line (services) -&gt; no data.</t>
  </si>
  <si>
    <t xml:space="preserve">E7</t>
  </si>
  <si>
    <t xml:space="preserve">Operating leverage</t>
  </si>
  <si>
    <t xml:space="preserve">EBITDA margin up over 3 yrs, or SG&amp;A/revenue down</t>
  </si>
  <si>
    <t xml:space="preserve">Connor Haley states that overhead falling as a share of sales means the company is reaching operating leverage, because costs growing slower than revenue lift margins, which is often when an undiscovered stock gets re-rated. A mentioned example: in Alta Fox's study, the median winner's SG&amp;A fell 416 basis points of revenue and its EBITDA margin rose 753 basis points over five years. Alex Sacerdote states that rising margins on top of fast growth mean earnings can grow much faster than sales, because with S-curve adoption and a rising margin "your earnings don't grow linearly they grow exponentially". A mentioned example: Whale Rock bought Tesla around end-2019 and 2020, when a cheaper Model 3 made electric-car adoption take off.</t>
  </si>
  <si>
    <t xml:space="preserve">Proof the model scales.</t>
  </si>
  <si>
    <t xml:space="preserve">E8</t>
  </si>
  <si>
    <t xml:space="preserve">Little dilution</t>
  </si>
  <si>
    <t xml:space="preserve">Share count growth &lt;= 3%/yr (3 yrs)</t>
  </si>
  <si>
    <t xml:space="preserve">Connor Haley states that little dilution means growth reaches each existing share, because per-share value matters more than size, and the big winners were funding themselves instead of issuing stock to cover losses. A mentioned example: in Alta Fox's 104-stock study, the winners were proven concepts that were not losing millions and meaningfully diluting shareholders. Chris Davis states that a share count that does not rise means value builds up for each owner, because long-term compounding only reaches holders if the company is not handing out more slices of itself. A mentioned example: his 50-year study found lasting winners such as Exxon and Philip Morris tended to have share counts that did not go up.</t>
  </si>
  <si>
    <t xml:space="preserve">Per-share compounding.</t>
  </si>
  <si>
    <t xml:space="preserve">No share history for recent IPOs/spin-offs and some foreign filers (~20 flagged).</t>
  </si>
  <si>
    <t xml:space="preserve">E9</t>
  </si>
  <si>
    <t xml:space="preserve">Leverage</t>
  </si>
  <si>
    <t xml:space="preserve">Net debt / EBITDA &lt;= 2.5x</t>
  </si>
  <si>
    <t xml:space="preserve">Connor Haley states that modest debt means downside protection, because a strong balance sheet lets a small company get through a shock that could push a levered one toward bankruptcy. A mentioned example: in March 2020 Alta Fox sold a well-run restaurant stock that had just borrowed to buy another business right before COVID. Brian Gaines states that heavy debt turns the equity into "an option bet", because lenders, especially banks, can force a levered company into bankruptcy, so the share price no longer tracks business value. A mentioned example: Movie Gallery, with $1.1 billion of debt on about 30 million shares, which he described as an option bet.</t>
  </si>
  <si>
    <t xml:space="preserve">Downside protection.</t>
  </si>
  <si>
    <t xml:space="preserve">E10</t>
  </si>
  <si>
    <t xml:space="preserve">Size (market cap)</t>
  </si>
  <si>
    <t xml:space="preserve">Market cap &gt;= $150M</t>
  </si>
  <si>
    <t xml:space="preserve">Tradeability</t>
  </si>
  <si>
    <t xml:space="preserve">Connor Haley states that a minimum size means avoiding the tiniest stocks, because Alta Fox's preference for high-quality businesses has worked better a bit higher up, where it has done much better in small, mid and large caps. A mentioned example: Alta Fox's worst market-cap bucket since inception has been micro caps, and its multibagger study only counted companies above $150M.</t>
  </si>
  <si>
    <t xml:space="preserve">Micro caps were the study's worst bucket.</t>
  </si>
  <si>
    <t xml:space="preserve">Price x SEC share count. Unreliable for ADRs (ADR ratio unknown), multi-class shares or missing share counts -&gt; 'check manually' (~150 ADRs last run).</t>
  </si>
  <si>
    <t xml:space="preserve">E11</t>
  </si>
  <si>
    <t xml:space="preserve">Not already large</t>
  </si>
  <si>
    <t xml:space="preserve">Market cap &lt;= $10B</t>
  </si>
  <si>
    <t xml:space="preserve">Connor Haley states that staying below about $10B means the company still has room to multiply, because Alta Fox likes small caps that grow into mid caps and mid caps that grow into large caps, and that growth drives the return. A mentioned example: Alta Fox's study of 104 multibaggers only looked at companies with market caps between $150M and $10B.</t>
  </si>
  <si>
    <t xml:space="preserve">Runway for a multibagger.</t>
  </si>
  <si>
    <t xml:space="preserve">E12</t>
  </si>
  <si>
    <t xml:space="preserve">EV / EBITDA &lt;= 20x</t>
  </si>
  <si>
    <t xml:space="preserve">Connor Haley states that a moderate EV/EBITDA means the thesis can work on profit growth alone, because "if your entire thesis rests on significant multiple expansion maybe it's not a great thesis". A mentioned example: in his study the median multibagger traded about 10x forward EBITDA five years earlier and re-rated to about 25x, with two-thirds of the return from multiple expansion. Chris Davis states that a reasonable starting multiple means your return is set by the business, because he assumes no re-rating: "We may get it, but it's nowhere in our models." A mentioned example: in 2026 his holdings at about 14x earnings offered a 7.5% earnings yield, versus about 3.8% for the market at 26x.</t>
  </si>
  <si>
    <t xml:space="preserve">Return comes from growth, not multiple expansion.</t>
  </si>
  <si>
    <t xml:space="preserve">E13</t>
  </si>
  <si>
    <t xml:space="preserve">Liquidity</t>
  </si>
  <si>
    <t xml:space="preserve">Avg daily value traded &gt;= $200k</t>
  </si>
  <si>
    <t xml:space="preserve">Connor Haley states that trading of at least $200k a day means a stock is "reasonably liquid" for a small and micro cap investor, because a fund has to be able to build and exit a real position. A mentioned example: Alta Fox's 104-multibagger study used average daily value traded over $200k as an entry filter.</t>
  </si>
  <si>
    <t xml:space="preserve">Tradeable.</t>
  </si>
  <si>
    <t xml:space="preserve">Why overlooked, niche dominance, customer concentration (~70% = kill), insider stake &gt;= 5%, acquisition-led growth</t>
  </si>
  <si>
    <t xml:space="preserve">Connor Haley states that the questions numbers miss decide the case, because "why might this stock be mispriced" is the key question, 70% customer concentration is a risk that never goes away, and small-cap managers should own at least about 5%. A mentioned example: XPEL, a focused niche leader that competes with far bigger 3M, which he says a focused player can often out-innovate. Pat Dorsey states that moat strength needs human research, because "you can't screen for switching costs"; you have to talk to customers and others who know the business. No specific past example given.</t>
  </si>
  <si>
    <t xml:space="preserve">Special Situations</t>
  </si>
  <si>
    <t xml:space="preserve">Universe (event)</t>
  </si>
  <si>
    <t xml:space="preserve">Spin-off (Form 10), bankruptcy (8-K item 1.03) or IPO (S-1/F-1) in last 36 months; no funds/banks/insurers</t>
  </si>
  <si>
    <t xml:space="preserve">Trigger</t>
  </si>
  <si>
    <t xml:space="preserve">Joel Greenblatt states that spin-offs and post-bankruptcy stocks mean likely mispricing, because analysts stop covering a messy company "until the smoke is cleared", and lenders handed shares in a bankruptcy usually sell them. A mentioned example: his Sears stub, bought for about $5 in 1993, reached $30 in two months. Connor Haley states that spin-offs, post-bankruptcy firms and recent IPOs mean a possible edge, because the market has not had long to analyze them, so they can stay mispriced. No specific past example given.</t>
  </si>
  <si>
    <t xml:space="preserve">The source of the edge.</t>
  </si>
  <si>
    <t xml:space="preserve">Spin-offs without a Form 10 (e.g. foreign) can be missed; 8-K 1.03 dates the filing, not the emergence.</t>
  </si>
  <si>
    <t xml:space="preserve">S1</t>
  </si>
  <si>
    <t xml:space="preserve">No investor source: a data-quality rule, because you need current filed numbers to judge the business.</t>
  </si>
  <si>
    <t xml:space="preserve">New listings often have no annual report yet (only Form 10/prospectus) -&gt; no data.</t>
  </si>
  <si>
    <t xml:space="preserve">S2</t>
  </si>
  <si>
    <t xml:space="preserve">Profitable business</t>
  </si>
  <si>
    <t xml:space="preserve">TTM operating income &gt; 0</t>
  </si>
  <si>
    <t xml:space="preserve">Joel Greenblatt states that real operating profit means you can judge whether the business is both good and cheap, because he measures stocks on EBIT against enterprise value and against capital, looking for high returns bought at a high earnings yield. A mentioned example: NII Holdings, a post-bankruptcy wireless business at 2.8x EBITDA, went from $10 to $240 split-adjusted.</t>
  </si>
  <si>
    <t xml:space="preserve">Avoids broken companies.</t>
  </si>
  <si>
    <t xml:space="preserve">New listings often lack tagged history -&gt; no data.</t>
  </si>
  <si>
    <t xml:space="preserve">S3</t>
  </si>
  <si>
    <t xml:space="preserve">Net debt / EBITDA &lt;= 4x</t>
  </si>
  <si>
    <t xml:space="preserve">Brian Gaines states that heavy debt turns the equity into "an option bet", because the capital structure decides whether a company can be pushed into bankruptcy: banks can force it, while fixed-rate bondholders cannot. A mentioned example: Movie Gallery, with $1.1 billion of debt on about 30 million shares, which he said had become an option bet whose share price meant little.</t>
  </si>
  <si>
    <t xml:space="preserve">Equity isn't an option bet.</t>
  </si>
  <si>
    <t xml:space="preserve">S4</t>
  </si>
  <si>
    <t xml:space="preserve">Cheap</t>
  </si>
  <si>
    <t xml:space="preserve">EV / EBIT &lt;= 15x</t>
  </si>
  <si>
    <t xml:space="preserve">Joel Greenblatt states that a low EV/EBIT means you are paid well for the risk, because he thinks in pre-tax multiples against a bond yield of at least 6%: about 10x EBIT is similar to that yield, and 12x needs real certainty. A mentioned example: he warned students who put 12x EBIT on their write-ups that only a pretty good business deserves it.</t>
  </si>
  <si>
    <t xml:space="preserve">Margin of safety on the mispricing.</t>
  </si>
  <si>
    <t xml:space="preserve">Price x SEC share count. Unreliable for ADRs (ADR ratio unknown), multi-class shares or missing share counts -&gt; 'check manually' (~150 ADRs last run). New listings may lack a share count.</t>
  </si>
  <si>
    <t xml:space="preserve">S5</t>
  </si>
  <si>
    <t xml:space="preserve">Market cap &gt;= $100M</t>
  </si>
  <si>
    <t xml:space="preserve">No investor source: a tradeability rule, because very small companies are hard to buy without moving the price.</t>
  </si>
  <si>
    <t xml:space="preserve">Tradeable size.</t>
  </si>
  <si>
    <t xml:space="preserve">S6</t>
  </si>
  <si>
    <t xml:space="preserve">No investor source: a tradeability rule, because you must be able to get in and out of the stock.</t>
  </si>
  <si>
    <t xml:space="preserve">Why the parent spins it off, who must sell, management incentives, debt loaded on the spinco, hidden assets</t>
  </si>
  <si>
    <t xml:space="preserve">Joel Greenblatt states that you must read why the parent is acting and how managers are paid, because many spin-offs come from a position of weakness, and stock owned versus yearly pay is the main thing he checks on management. A mentioned example: when Sears said it had no intention of disposing of Allstate, he read it as a sign it would. Brian Gaines states that insiders putting more money in means the business is not falling apart, because they know more than outsiders do. A mentioned example: Hollywood Video's CEO Mark Wattles rolled his stake into a buyout, going from about 10% to 50% ownership. Chris Davis states that hidden assets and senior claims change the real price, because you should value the whole company like a buyer, counting debt and pensions and assets carried below value. No specific past example given.</t>
  </si>
  <si>
    <t xml:space="preserve">Needs reading the Form 10 / reorganization plan.</t>
  </si>
  <si>
    <t xml:space="preserve">Fortress</t>
  </si>
  <si>
    <t xml:space="preserve">Same as Core</t>
  </si>
  <si>
    <t xml:space="preserve">Same as Core.</t>
  </si>
  <si>
    <t xml:space="preserve">F1</t>
  </si>
  <si>
    <t xml:space="preserve">&gt;= 9 years of data</t>
  </si>
  <si>
    <t xml:space="preserve">Stanley Druckenmiller states that a record spanning a recession matters, because how earnings behave in a downturn shows whether they are sustainable, and sustainable recession earnings protect the stock. No specific past example given. Dev Kantesaria states that a long record matters because he only owns companies he is confident stay dominant for at least 10 years, preferring business models that have already worked for decades. No specific past example given.</t>
  </si>
  <si>
    <t xml:space="preserve">Lets the recession tests run.</t>
  </si>
  <si>
    <t xml:space="preserve">F2</t>
  </si>
  <si>
    <t xml:space="preserve">F3</t>
  </si>
  <si>
    <t xml:space="preserve">Revenue &gt;= $500M</t>
  </si>
  <si>
    <t xml:space="preserve">F4</t>
  </si>
  <si>
    <t xml:space="preserve">Held up in 2020</t>
  </si>
  <si>
    <t xml:space="preserve">2020 revenue &gt;= -5% and operating income &gt;= -15%</t>
  </si>
  <si>
    <t xml:space="preserve">Stanley Druckenmiller states that profits holding up in a recession mean the stock is protected, because "if you have very good earnings in a recession and they're sustainable" the market eventually sees it. A mentioned example: in June 2023 he argued that if staples can rise in a recession, Nvidia could too, with orders and earnings up about 70% in a hard landing.</t>
  </si>
  <si>
    <t xml:space="preserve">Recession-proof earnings (the thesis).</t>
  </si>
  <si>
    <t xml:space="preserve">F5</t>
  </si>
  <si>
    <t xml:space="preserve">Held up in 2009</t>
  </si>
  <si>
    <t xml:space="preserve">2009 revenue &gt;= -10%, operating income &gt;= -25%; recession loss fails</t>
  </si>
  <si>
    <t xml:space="preserve">Stanley Druckenmiller states that holding up in a deep recession signals resilient earnings, because a hard landing normally hits profits hard and only sustainable earnings protect the stock. A mentioned example: his May 2023 hard-landing template had corporate profits falling "20 percent plus" and unemployment rising from 3.4% to above 5%.</t>
  </si>
  <si>
    <t xml:space="preserve">Second proof of resilience.</t>
  </si>
  <si>
    <t xml:space="preserve">SEC XBRL data mostly starts 2009-11 -&gt; 2008-09 missing for many (~35 flagged); check old annual reports.</t>
  </si>
  <si>
    <t xml:space="preserve">F6</t>
  </si>
  <si>
    <t xml:space="preserve">Never lost money</t>
  </si>
  <si>
    <t xml:space="preserve">0 operating-loss years</t>
  </si>
  <si>
    <t xml:space="preserve">Dev Kantesaria states that never losing money signals the predictability he insists on, because he hates to lose a single dollar and avoids anything that "could go down 90% tomorrow", preferring business models that have succeeded for decades. No specific past example given.</t>
  </si>
  <si>
    <t xml:space="preserve">F7</t>
  </si>
  <si>
    <t xml:space="preserve">Stable margins</t>
  </si>
  <si>
    <t xml:space="preserve">Operating margin std. dev. &lt;= 5 pts (10 yrs)</t>
  </si>
  <si>
    <t xml:space="preserve">Dev Kantesaria states that stable results signal predictable earnings, which he values so highly that he is "happy to give up some growth in exchange for predictability", because predictability gives a margin of safety if his assumptions are wrong. A mentioned example: Nestlé and Hershey, which he calls extremely predictable (though too slow-growing).</t>
  </si>
  <si>
    <t xml:space="preserve">Low earnings volatility.</t>
  </si>
  <si>
    <t xml:space="preserve">F8</t>
  </si>
  <si>
    <t xml:space="preserve">Decent returns</t>
  </si>
  <si>
    <t xml:space="preserve">10-yr median ROIC &gt;= 10%</t>
  </si>
  <si>
    <t xml:space="preserve">Chris Hohn states that some capital-heavy assets still have strong moats, because airports, toll roads, railroads and telecom towers are natural monopolies that are hard to compete with, and parts of their income need little capital. A mentioned example: Spain's privatized airport group Aena; "they'll never build a second airport at Madrid". Dev Kantesaria states that toll collectors on essential activity are great businesses, because they can keep raising the toll even when volume dips. A mentioned example: Moody's and S&amp;P Global, which he describes as toll collectors.</t>
  </si>
  <si>
    <t xml:space="preserve">Quality floor.</t>
  </si>
  <si>
    <t xml:space="preserve">F9</t>
  </si>
  <si>
    <t xml:space="preserve">Net debt / EBITDA &lt;= 2x</t>
  </si>
  <si>
    <t xml:space="preserve">Paul Singer states that surviving comes first, because big losses wreck judgment while intact capital lets you act in a crisis: "you make a buck you keep it". A mentioned example: he lost 88% of his parents' money on margin in 1974; in late 2008 "everything got cheap" for those with capital left. Sander Gerber states that heavy leverage is dangerous when rates stay high, because borrowers won't be able to refinance at the same rate or make their debt payments, so leveraged structures break down. No specific past example given.</t>
  </si>
  <si>
    <t xml:space="preserve">F10</t>
  </si>
  <si>
    <t xml:space="preserve">Interest coverage</t>
  </si>
  <si>
    <t xml:space="preserve">EBIT / interest &gt;= 6x</t>
  </si>
  <si>
    <t xml:space="preserve">Stanley Druckenmiller states that cheap debt locked in earlier will reprice, because corporations "termed out their debt" and "that stuff rolls over in 25 and 26", so interest costs rise to today's rates. A mentioned example: in COVID, 80% of individuals refinanced mortgages, keeping the average rate under 4% though new mortgages reached 8% (Nov 2024).</t>
  </si>
  <si>
    <t xml:space="preserve">Refinancing safety.</t>
  </si>
  <si>
    <t xml:space="preserve">If interest isn't tagged, a worst-case estimate is used.</t>
  </si>
  <si>
    <t xml:space="preserve">F11</t>
  </si>
  <si>
    <t xml:space="preserve">Refinancing</t>
  </si>
  <si>
    <t xml:space="preserve">Debt due in 2 yrs &lt;= cash + 2 yrs of FCF</t>
  </si>
  <si>
    <t xml:space="preserve">Matt Mark states that debt coming due can cause a crisis even when assets cover it, because bondholders want their money at maturity, not promised future asset sales. A mentioned example: Grupo TMM had about $400M of debt against a roughly $470M asset sale, yet with notes due in 2003 it sought a Mexican court order against default claims, and its bonds fell to about 60 cents. Sander Gerber states that maturities are the danger point when rates stay high, because borrowers won't be able to refinance at the same rate or make their payments. No specific past example given.</t>
  </si>
  <si>
    <t xml:space="preserve">No liquidity squeeze.</t>
  </si>
  <si>
    <t xml:space="preserve">Maturity schedule often not tagged (e.g. LMT, KMB) -&gt; check the debt note.</t>
  </si>
  <si>
    <t xml:space="preserve">F12</t>
  </si>
  <si>
    <t xml:space="preserve">Cash every year</t>
  </si>
  <si>
    <t xml:space="preserve">&lt;= 1 negative-FCF year</t>
  </si>
  <si>
    <t xml:space="preserve">Peter Thiel states that cash piling up year after year is the financial signature of a monopoly-like business, because such companies keep very high profit margins with little competition. A mentioned example: Apple, Google, Microsoft and Amazon, which he says have built up cash year after year. Terry Smith states that cash is the true test of quality, because he measures returns as cash delivered in a period divided by capital employed, not reported profit. No specific past example given.</t>
  </si>
  <si>
    <t xml:space="preserve">Resilient cash flow.</t>
  </si>
  <si>
    <t xml:space="preserve">F13</t>
  </si>
  <si>
    <t xml:space="preserve">Inflation test</t>
  </si>
  <si>
    <t xml:space="preserve">Gross margin change 2021-23 &gt;= -2 pts</t>
  </si>
  <si>
    <t xml:space="preserve">Chris Hohn states that pricing above inflation is the test of a moat, because most companies can only price at inflation if lucky, while a 1% real price rise at a 20% margin grows profits about 5% faster than revenue. No specific past example given. Dev Kantesaria states that pricing power is the best protection from inflation, because an essential product can raise prices a few percent above inflation for a decade or more, compounding intrinsic value. No specific past example given.</t>
  </si>
  <si>
    <t xml:space="preserve">Pricing-power evidence.</t>
  </si>
  <si>
    <t xml:space="preserve">Margin collapse / revenue shrinking</t>
  </si>
  <si>
    <t xml:space="preserve">As in Core</t>
  </si>
  <si>
    <t xml:space="preserve">Chris Hohn states that falling profits can mean competition is breaking in, because too much competition erodes profits until you may make no money at all. No specific past example given. Terry Smith states that shrinking revenue must be judged across the cycle, because a secular grower's peaks and troughs should each be bigger than the last. No specific past example given.</t>
  </si>
  <si>
    <t xml:space="preserve">Early warning.</t>
  </si>
  <si>
    <t xml:space="preserve">None (price-blind by design)</t>
  </si>
  <si>
    <t xml:space="preserve">Dev Kantesaria states that price should not decide inclusion, because whether a P/E is 24, 28 or 32 matters far less than picking the right companies, and value growth overcomes overpaying by 10 or 15%. No specific past example given. Terry Smith states that business quality matters more than price, because over a long hold your return converges on the business's return on capital. A mentioned example: Munger's point that a business earning 6% for 40 years returns about 6% even if bought at a huge discount.</t>
  </si>
  <si>
    <t xml:space="preserve">-</t>
  </si>
  <si>
    <t xml:space="preserve">Is resilience structural (essential, recurring)? Contract durability, regulation, what would break it</t>
  </si>
  <si>
    <t xml:space="preserve">Chris Hohn states that resilience needs judgment on whether the need is essential and the barriers durable, because most of a company's value lies 20-30 years out; barriers too low invite competition, too high invite regulators. A mentioned example: airports, where landing charges are regulated but shops, parking and lounges are not. Pat Dorsey states that contract and customer durability can't be read from numbers, because "you can't screen for switching costs"; it takes talking to customers and ex-employees. No specific past example given.</t>
  </si>
  <si>
    <t xml:space="preserve">Healthcare - Commercial</t>
  </si>
  <si>
    <t xml:space="preserve">Healthcare SIC codes: pharma, devices, tools, distribution, insurers, services</t>
  </si>
  <si>
    <t xml:space="preserve">Terry Smith states that commercial pharma and health care companies belong in a quality screen, because these sectors keep earning high returns on capital over decades instead of fading to average. A mentioned example: his sector chart shows pharmaceuticals and health care with high returns both in 1963–2004 and in the latest 20 years. Connor Haley states that healthcare needs its own rules, because government regulation "greatly impacts the healthcare space", so some winners enjoy conditions that may not last. A mentioned example: healthcare did surprisingly well in Alta Fox's 2015–20 multibagger study, but he said its top winner, Zynex, may have benefited from dynamics that may not persist.</t>
  </si>
  <si>
    <t xml:space="preserve">Like-for-like comparison.</t>
  </si>
  <si>
    <t xml:space="preserve">H1</t>
  </si>
  <si>
    <t xml:space="preserve">&gt;= 5 years of data</t>
  </si>
  <si>
    <t xml:space="preserve">Terry Smith states that a long record shows whether a company is truly good, because returns persist for decades: "Good companies don't become bad companies by and large or vice versa." A mentioned example: in ROE data going back to 1966, high-return companies stayed near 20% and low-return ones near 12%.</t>
  </si>
  <si>
    <t xml:space="preserve">Makes return and stability numbers meaningful.</t>
  </si>
  <si>
    <t xml:space="preserve">H2</t>
  </si>
  <si>
    <t xml:space="preserve">No investor source: an old annual report can hide a recent collapse, so the latest numbers must be reasonably current.</t>
  </si>
  <si>
    <t xml:space="preserve">H3</t>
  </si>
  <si>
    <t xml:space="preserve">No investor source: very small filers have patchier data and are hard to buy in a useful size.</t>
  </si>
  <si>
    <t xml:space="preserve">H4</t>
  </si>
  <si>
    <t xml:space="preserve">&lt;= 1 loss year in last 5</t>
  </si>
  <si>
    <t xml:space="preserve">Connor Haley states that steady profits mark a proven business rather than a cash burner, because a company already making money does not need to keep raising cash and diluting owners. A mentioned example: in Alta Fox's study of 104 multibaggers (2015–20), most were profitable five years earlier, "relatively proven concepts" that "weren't losing millions".</t>
  </si>
  <si>
    <t xml:space="preserve">H5</t>
  </si>
  <si>
    <t xml:space="preserve">High returns</t>
  </si>
  <si>
    <t xml:space="preserve">10-yr median ROIC &gt;= 12%</t>
  </si>
  <si>
    <t xml:space="preserve">Terry Smith states that a high return on capital marks a quality business, because return on capital is "the single most important thing" and high returns persist for decades. A mentioned example: pharmaceuticals and health care are among the sectors with high returns on capital in both 1963–2004 and the latest 20 years. Joel Greenblatt states that a pre-tax return of 14% is generally not good, while 20% pre-tax, about 12% after a 40% tax, is decent though not amazing, because it leaves room for error. No specific past example given.</t>
  </si>
  <si>
    <t xml:space="preserve">Moat evidence (patents, installed base).</t>
  </si>
  <si>
    <t xml:space="preserve">H6</t>
  </si>
  <si>
    <t xml:space="preserve">Gross margin (products)</t>
  </si>
  <si>
    <t xml:space="preserve">Gross margin &gt;= 50%</t>
  </si>
  <si>
    <t xml:space="preserve">Bihua Chen states that a high gross margin is what a real drug business looks like, because a pharmaceutical company's gross margin should be 80 to 90%, with operating margin up to about 50% depending on marketing costs and efficiency. No specific past example given.</t>
  </si>
  <si>
    <t xml:space="preserve">Pricing power.</t>
  </si>
  <si>
    <t xml:space="preserve">Rare: no gross-profit line (e.g. REGN) -&gt; no data.</t>
  </si>
  <si>
    <t xml:space="preserve">H7</t>
  </si>
  <si>
    <t xml:space="preserve">FCF / net income &gt;= 0.7</t>
  </si>
  <si>
    <t xml:space="preserve">Terry Smith states that turning profits into cash shows the returns are real, because he measures return on capital as cash delivered against the capital employed. A mentioned example: the MSCI World quality subset (high returns on capital, high margins, good cash conversion) beat the index in every rolling 10-year period since 1996. Connor Haley states that free cash flow is the number to trust, because earnings and EBITDA, unlike free cash flow, "can be easily manipulated". No specific past example given.</t>
  </si>
  <si>
    <t xml:space="preserve">H8</t>
  </si>
  <si>
    <t xml:space="preserve">Net debt / EBITDA &lt;= 3x</t>
  </si>
  <si>
    <t xml:space="preserve">Connor Haley states that debt taken on to buy another business makes a company fragile, because a sudden shock can leave it short of cash and facing bankruptcy. A mentioned example: Alta Fox sold a well-run restaurant stock that had just levered up for an acquisition right before COVID; it survived, but he defends the sale. Brian Gaines states that heavy debt turns the shares into an option bet, because banks can force a bankruptcy in a bad patch, so share-price moves say little about the company's value. A mentioned example: Movie Gallery, with $1.1 billion of debt and about 30 million shares, fell to $6.80 by late 2005.</t>
  </si>
  <si>
    <t xml:space="preserve">H9</t>
  </si>
  <si>
    <t xml:space="preserve">Growing</t>
  </si>
  <si>
    <t xml:space="preserve">Revenue CAGR &gt;= 3%</t>
  </si>
  <si>
    <t xml:space="preserve">Terry Smith states that growing sales show a company can reinvest its high returns, because high returns are wasted in a business that can't grow; he wants secular growth, where each cycle's peak and trough beat the last. No specific past example given. Jim Flynn states that shrinking sales at a drug company can mean a patent has expired, because "a generic will get 98% of volume within a month" after a patent ends, so branded revenue is close to all-or-nothing. No specific past example given.</t>
  </si>
  <si>
    <t xml:space="preserve">Franchise still growing.</t>
  </si>
  <si>
    <t xml:space="preserve">Dave Johnson states that falling revenue at a drug company can signal a patent cliff, because after a typical patent cliff revenues fall about 90%. A mentioned example: Incyte's blockbuster Jakafi goes off patent in 2028 with nothing in Incyte's portfolio to replace it (Jun 2023). Jim Flynn states that growth from price rises in old drug classes is at risk of a forced price cut, because lawmakers target classes where prices rise despite competition. A mentioned example: TNF-inhibitor prices "inch up not down" despite many rivals, and Congress was discussing legislating competition into such classes (Nov 2021).</t>
  </si>
  <si>
    <t xml:space="preserve">Terry Smith states that the first question is how good the business is, because a low price can't make a bad company good: "It may give you a short-term opportunity, but it certainly doesn't give you a long-term one." A mentioned example: low-return sectors such as utilities, telecoms, transport and retailing stayed low for decades. Chris Davis states that business quality outweighs entry price for a long-term owner, because "your return over time is going to approach the return on equity of the business, no matter what your starting price is." No specific past example given.</t>
  </si>
  <si>
    <t xml:space="preserve">Patent expiries next 5 yrs (% revenue), Medicare/Medicaid share, price-led growth, pipeline depth</t>
  </si>
  <si>
    <t xml:space="preserve">Joel Greenblatt states that heavy reliance on Medicare or Medicaid caps returns, because if such companies make too much money for a while "they change the rules" and pay less, so never assume outlandish returns. A mentioned example: for-profit hospitals, which can still earn decent returns by running more efficiently on the same Medicare rates. Dave Johnson states that revenue from drugs nearing patent expiry is at risk, because revenue typically falls about 90% after the cliff, while trade-secret products can avoid it. A mentioned example: Botox has no generic after 20+ years because its cell bank is a trade secret nobody can copy. Jim Flynn states that a product's future depends on what could replace it, because the biggest public-market question is when a company's product becomes obsolete and "What's coming behind it", which Deerfield's private-side view helps answer. No specific past example given.</t>
  </si>
  <si>
    <t xml:space="preserve">Not in financial data; AI review + 10-K reading.</t>
  </si>
  <si>
    <t xml:space="preserve">Healthcare - Clinical</t>
  </si>
  <si>
    <t xml:space="preserve">Pharma/biotech/device SIC codes, not commercial-stage (revenue &lt; $200M or operating loss)</t>
  </si>
  <si>
    <t xml:space="preserve">Bihua Chen states that a pre-revenue biotech can't be judged on earnings, because its value turns on whether the drug works; projecting cash flows and comparing peers is the "less value added" part. A mentioned example: an Alzheimer's antibiotic theory built on a correlation failed an adequately sized placebo-controlled trial. Connor Haley states that requiring positive trailing EBITDA removes biotech from a generalist screen, because such companies "aren't in sort of the generalist investor framework". A mentioned example: Alta Fox's 2020 multibagger study used exactly this filter to take biotech out.</t>
  </si>
  <si>
    <t xml:space="preserve">Separate 'cash floor + option' logic.</t>
  </si>
  <si>
    <t xml:space="preserve">B1</t>
  </si>
  <si>
    <t xml:space="preserve">Recent balance sheet</t>
  </si>
  <si>
    <t xml:space="preserve">Balance sheet &lt;= 200 days old</t>
  </si>
  <si>
    <t xml:space="preserve">No investor source: clinical companies burn cash quickly, so the cash figure is only useful if the balance sheet is recent.</t>
  </si>
  <si>
    <t xml:space="preserve">Accurate floor.</t>
  </si>
  <si>
    <t xml:space="preserve">B2</t>
  </si>
  <si>
    <t xml:space="preserve">Cash runway</t>
  </si>
  <si>
    <t xml:space="preserve">Cash / annual burn &gt;= 2 yrs</t>
  </si>
  <si>
    <t xml:space="preserve">Bihua Chen states that cash burn makes biotech prices depend on financing, because biotechs are long-dated assets that "burn a lot of money" under "a lot of financing pressure", so she passes when there isn't enough capital to reach the next proof point. No specific past example given. Jim Flynn states that cash-hungry biotechs listed in a bubble tend not to last, because bubbles let in companies that are "too early, too risky, require too much cash", and they "just have to go away". A mentioned example: in May 2025 biotech had just been through his third bubble and collapse in 36 years. Eli Casdin states that a long cash runway keeps a company from failing for lack of money, because he is "over capitalizing these businesses so they're not going to run out of money", scaling up his investment over time instead of putting everything in first and fighting dilution on the way down. A mentioned example: his companies burn about $100–150 million every 12–24 months (2022).</t>
  </si>
  <si>
    <t xml:space="preserve">Time to reach the next catalyst.</t>
  </si>
  <si>
    <t xml:space="preserve">Burn = last 12 months operating cash flow.</t>
  </si>
  <si>
    <t xml:space="preserve">B3</t>
  </si>
  <si>
    <t xml:space="preserve">Little debt</t>
  </si>
  <si>
    <t xml:space="preserve">Debt / cash &lt;= 0.5</t>
  </si>
  <si>
    <t xml:space="preserve">Dave Johnson states that a convertible bond ahead of shareholders weighs on the stock, because it is a claim on the company's cash. A mentioned example: MorphoSys's convertible traded at a big discount, and within about six weeks of Caligan's push the company bought back about 25% of it (2023). Jim Flynn states that senior secured debt comes ahead of shareholders, because the lender's part "protects your basis" and lets the lender take control if the company fails. A mentioned example: when COVID nearly sank Melinta, Deerfield, as secured lender, credit-bid, took over the company and later sold it for over $300 million.</t>
  </si>
  <si>
    <t xml:space="preserve">Floor belongs to shareholders.</t>
  </si>
  <si>
    <t xml:space="preserve">B4</t>
  </si>
  <si>
    <t xml:space="preserve">Market cap &gt;= $50M</t>
  </si>
  <si>
    <t xml:space="preserve">No investor source: below about $50M of market value a stock is hard to buy without moving the price.</t>
  </si>
  <si>
    <t xml:space="preserve">B5</t>
  </si>
  <si>
    <t xml:space="preserve">Connor Haley states that a minimum daily trading value makes a stock practical to own, because a fund needs enough trading to build and exit a position. A mentioned example: Alta Fox's multibagger study required average daily value traded over $200,000, "reasonably liquid" for a small and micro cap investor.</t>
  </si>
  <si>
    <t xml:space="preserve">B6</t>
  </si>
  <si>
    <t xml:space="preserve">Floor value</t>
  </si>
  <si>
    <t xml:space="preserve">EV / cash &lt;= 0.25</t>
  </si>
  <si>
    <t xml:space="preserve">Dave Johnson states that an enterprise value near or below cash means you get the drug pipeline almost free, because cash and approved assets already cover the price. A mentioned example: MorphoSys had negative EV from December 2022 with about €1 billion of cash: "you own this option for nothing". Joel Greenblatt states that a stock priced at its cash, with a business not burning money, comes almost free, because management has no incentive to waste the cash and the business may turn into something: "almost like a free option". No specific past example given.</t>
  </si>
  <si>
    <t xml:space="preserve">Hard downside floor + free upside.</t>
  </si>
  <si>
    <t xml:space="preserve">Lead asset and phase, next catalyst and date, science quality, crowded mechanism, management record</t>
  </si>
  <si>
    <t xml:space="preserve">Dave Johnson states that the lead drug's stage decides the risk, because Caligan avoids scientific risk by investing mostly at Phase 3 or later, and stocks sit in a "catalyst desert" between readouts. A mentioned example: MorphoSys's Phase 3 pelabresib, valued at up to about 45 per share against under 13 paid (Jun 2023). Bihua Chen states that science quality and crowding need expert judgment, because "Every company will tell you something is causal, and most time it's not", and once a pathway works about 20 companies can flood in. A mentioned example: the Alzheimer's antibiotic theory that failed its placebo-controlled trial. Eli Casdin states that management quality needs a human test, because, as he puts it, "A's hire A+ people" while B's hire C's, so thinning talent down the ranks is a warning sign. A mentioned example: he suggests an improvement; a team that calls it a good idea is a red flag, while one that started it months ago reassures.</t>
  </si>
  <si>
    <t xml:space="preserve">Numbers can't judge science; AI review reads the pipeline.</t>
  </si>
  <si>
    <t xml:space="preserve">Cyclicals</t>
  </si>
  <si>
    <t xml:space="preserve">Capacity-cycle industries: metals, energy, chemicals, building materials, homebuilders, machinery, semis, autos, transport</t>
  </si>
  <si>
    <t xml:space="preserve">Stanley Druckenmiller states that capacity-cycle industries need cycle-aware rules, because when companies lose money capacity shrinks and margins recover within about three years, while flush industries announce expansions that bring margins down. A mentioned example: chemicals, his early sector, where you bought when everyone was losing money and shutting capacity. Connor Haley states that a cyclical company must be judged on trough numbers, because its profits swing with the cycle, so he wants it at a trough multiple on trough margins. No specific past example given.</t>
  </si>
  <si>
    <t xml:space="preserve">Right yardstick for cyclicals.</t>
  </si>
  <si>
    <t xml:space="preserve">C1</t>
  </si>
  <si>
    <t xml:space="preserve">Joel Greenblatt states that a long record means you can see the bad years and find normal earnings, because good and bad years must be averaged: $10 a year for nine years plus one break-even year is about $9. A mentioned example: Wells Fargo could earn about $18 a share in a normal year yet roughly zero once every seven or eight years.</t>
  </si>
  <si>
    <t xml:space="preserve">Enables cycle-average figures.</t>
  </si>
  <si>
    <t xml:space="preserve">C2</t>
  </si>
  <si>
    <t xml:space="preserve">C3</t>
  </si>
  <si>
    <t xml:space="preserve">No investor source: a data and ownership rule, because tiny filers have patchier numbers and are hard to own.</t>
  </si>
  <si>
    <t xml:space="preserve">C4</t>
  </si>
  <si>
    <t xml:space="preserve">Mid-cycle returns</t>
  </si>
  <si>
    <t xml:space="preserve">Chris Davis states that solid returns on capital mean the business, not the entry price, drives a long-term owner's return, because "your return over time is going to approach the return on equity of the business, no matter what your starting price is." A mentioned example: buy a business at half of book that keeps reinvesting at 4%, and your return heads toward 4%. Terry Smith states that a good return record means a good business, because returns on capital stay persistent for decades and a low rating does not turn a bad company into a good one. A mentioned example: in his sector data, transport, energy and materials stayed persistently low-return groups.</t>
  </si>
  <si>
    <t xml:space="preserve">Quality filter.</t>
  </si>
  <si>
    <t xml:space="preserve">C5</t>
  </si>
  <si>
    <t xml:space="preserve">Survives downturns</t>
  </si>
  <si>
    <t xml:space="preserve">&gt;= 7 profitable (EBIT) years</t>
  </si>
  <si>
    <t xml:space="preserve">Joel Greenblatt states that staying profitable in bad years means a cyclical is worth more than its swings suggest, because a business that does not lose money in a bust keeps its earning power and survives. A mentioned example: NVR, a homebuilder with pre-sold homes and little capital tied up, which in a downturn might take a small hit but probably would not lose money.</t>
  </si>
  <si>
    <t xml:space="preserve">Survival.</t>
  </si>
  <si>
    <t xml:space="preserve">C6</t>
  </si>
  <si>
    <t xml:space="preserve">Net debt / avg EBITDA (cycle) &lt;= 2.5x</t>
  </si>
  <si>
    <t xml:space="preserve">Joel Greenblatt states that low debt matters most in cyclicals, because whether a company survives the cycle depends on how leveraged it is, and you don't want to lever up a very cyclical business. No specific past example given. Brian Gaines states that heavy debt turns the equity into "an option bet", because banks can force a levered company into bankruptcy in a bad stretch. A mentioned example: Movie Gallery, with $1.1 billion of debt on about 30 million shares. Connor Haley states that a strong balance sheet means downside protection, because it lets a company survive a shock. A mentioned example: in March 2020 Alta Fox sold a restaurant stock that had just borrowed for an acquisition before COVID.</t>
  </si>
  <si>
    <t xml:space="preserve">Survives the next downturn.</t>
  </si>
  <si>
    <t xml:space="preserve">C7</t>
  </si>
  <si>
    <t xml:space="preserve">Not at peak margins</t>
  </si>
  <si>
    <t xml:space="preserve">Latest margin in lower half of own 10-yr range</t>
  </si>
  <si>
    <t xml:space="preserve">Stanley Druckenmiller states that buying when margins are low means buying before the recovery, because "when companies are losing money, capacity is always going to shrink and their margins going to look better in 3 years", while over-earners' margins come down. A mentioned example: in 2022 he named ocean shipping, with "massive margins", among the true over-earners, after retail and trucking. Connor Haley states that a cyclical should be bought at trough margins, because buying near peak margins means buying profits that will shrink. No specific past example given.</t>
  </si>
  <si>
    <t xml:space="preserve">Cycle timing (core of the thesis).</t>
  </si>
  <si>
    <t xml:space="preserve">Own history only; industry capacity cycle isn't measured.</t>
  </si>
  <si>
    <t xml:space="preserve">C8</t>
  </si>
  <si>
    <t xml:space="preserve">Cheap on normalized earnings</t>
  </si>
  <si>
    <t xml:space="preserve">EV / 10-yr avg EBIT &lt;= 12x</t>
  </si>
  <si>
    <t xml:space="preserve">Joel Greenblatt states that a low price on cycle-average earnings means a real bargain, because he draws the normal earnings line through good and bad years and pays a low multiple on it, instead of trusting one year. A mentioned example: Wells Fargo, with normalized earnings near $16 a share at about $70, dipped to $60 and later reached $250. Connor Haley states that a cyclical should trade at a trough multiple on trough margins, because then the price already assumes the bad part of the cycle. No specific past example given.</t>
  </si>
  <si>
    <t xml:space="preserve">Margin of safety if the cycle turns slowly.</t>
  </si>
  <si>
    <t xml:space="preserve">Industry capacity (closures vs expansions), cyclical vs structural margin drop</t>
  </si>
  <si>
    <t xml:space="preserve">Stanley Druckenmiller states that the capacity picture tells you where margins go next, because industries shutting capacity recover while flush ones announcing expansions show you what is coming. A mentioned example: in chemicals, companies used to announce capacity expansions at the peak, "so you knew what was going to happen." Joel Greenblatt states that the key question for a cheap, troubled stock is whether its problem is temporary or permanent, because only a temporary problem makes the low price a bargain. A mentioned example: Rich Pzena's case for Lear, the auto supplier, rested on showing its problem was short-term.</t>
  </si>
  <si>
    <t xml:space="preserve">Industry capacity data isn't in SEC filings.</t>
  </si>
  <si>
    <t xml:space="preserve">Owner-Operators</t>
  </si>
  <si>
    <t xml:space="preserve">Terry Smith states that leaving out utilities, telecoms, transport, energy, materials and retailing means skipping businesses whose returns stay low, because returns on capital persist for decades and being cheap doesn't turn a bad company into a good one. A mentioned example: airlines, which he says never make an adequate return on capital. Chris Hohn states that avoiding banks, autos, retail, insurance, commodities, airlines, telecoms and media means skipping businesses without real barriers to entry, because growth without barriers earns little for owners. A mentioned example: airlines grew about 5% a year for a century with minimal profit.</t>
  </si>
  <si>
    <t xml:space="preserve">O1</t>
  </si>
  <si>
    <t xml:space="preserve">Terry Smith states that a long record of returns means you can tell a truly good company from a lucky one, because high and low returns on capital tend to persist for decades. A mentioned example: return-on-equity data back to 1966, where the high-return group kept clustering around 20% and stayed well above the low group. Joel Greenblatt states that one year of high returns proves little, because last year's return on capital may be a cyclical peak or include one-off items, so it may not be the return going forward. No specific past example given.</t>
  </si>
  <si>
    <t xml:space="preserve">O2</t>
  </si>
  <si>
    <t xml:space="preserve">No investor source: old filings can hide a recent collapse, so the screen only uses companies with a fresh annual report.</t>
  </si>
  <si>
    <t xml:space="preserve">O3</t>
  </si>
  <si>
    <t xml:space="preserve">Revenue &gt;= $50M</t>
  </si>
  <si>
    <t xml:space="preserve">No investor source: very small filers have patchy data and are hard to own in a meaningful size.</t>
  </si>
  <si>
    <t xml:space="preserve">O4</t>
  </si>
  <si>
    <t xml:space="preserve">Insider ownership</t>
  </si>
  <si>
    <t xml:space="preserve">Insider share &gt;= 20%</t>
  </si>
  <si>
    <t xml:space="preserve">Murray Stahl states that high insider ownership means an owner-operator, someone who runs the company because they own more of it than anyone else, because their wealth moves with the shares; float-weighted indexes also underweight such firms, leaving them cheaper. A mentioned example: his S&amp;P 500 study back to 1957, where owner-operators earned the bulk of the return. Chris Davis states that managers who are real owners means incentives are aligned with shareholders, because managers who aren't owners chase the most pay possible, which is an expense for owners; "We want to invest in owner-operators." No specific past example given. Connor Haley states that management owning at least about 5% in small and micro caps means they care about shareholders, because their own net worth rises and falls with the stock. A mentioned example: XPEL's CEO Ryan Pape keeps a material part of his net worth in the stock and, Haley believes, has never sold a share.</t>
  </si>
  <si>
    <t xml:space="preserve">Alignment + under-owned by index funds (cheaper).</t>
  </si>
  <si>
    <t xml:space="preserve">From cover-page public float. Foreign filers report none (~43); no share count near float date (~29); share-class mismatches.</t>
  </si>
  <si>
    <t xml:space="preserve">O5</t>
  </si>
  <si>
    <t xml:space="preserve">&lt;= 2 operating-loss years</t>
  </si>
  <si>
    <t xml:space="preserve">Connor Haley states that a record of profits means a proven business rather than a cash burner, because companies already making money don't need to dilute shareholders to survive and can grow into operating leverage. A mentioned example: Alta Fox's study of 104 multibaggers from 2015-20, most of which were already profitable five years before their big run. Joel Greenblatt states that a single bad year should not disqualify a steady business, because what matters is normalized earnings across years: a company earning $10 for nine years and breaking even in one is worth roughly $9 of normal earnings. No specific past example given.</t>
  </si>
  <si>
    <t xml:space="preserve">O6</t>
  </si>
  <si>
    <t xml:space="preserve">Terry Smith states that a high return on capital means a business can compound in value, because over a long holding your return converges on what the business earns on its capital; he calls return on capital "the single most important thing". A mentioned example: airlines, which he says never make an adequate return on capital. Joel Greenblatt states that a high return on tangible capital means a good business, because it shows the profit on each dollar tied up in the business: pre-tax 14% is generally not good, while 20% (about 12% after tax) is decent. A mentioned example: Moody's, which needed no reinvestment and was the best business he had ever found.</t>
  </si>
  <si>
    <t xml:space="preserve">Compounding engine.</t>
  </si>
  <si>
    <t xml:space="preserve">O7</t>
  </si>
  <si>
    <t xml:space="preserve">FCF / net income &gt;= 0.6</t>
  </si>
  <si>
    <t xml:space="preserve">Connor Haley states that relying on free cash flow means trusting the number hardest to fake, because earnings and EBITDA "can be easily manipulated". No specific past example given. Terry Smith states that good cash conversion is a mark of quality, because profits only count if they arrive as cash, so he measures return on capital in cash. A mentioned example: the MSCI World quality subset (high returns, high margins, good cash conversion) beat the index in every rolling 10-year period since 1996. Dan Sundheim states that profits that don't reconcile with the cash and unit economics can signal accounting abuse, because capitalizing costs that should be expensed lifts profit without bringing in cash. A mentioned example: Orthodontic Centers of America, where he found "the simplest form of accounting fraud".</t>
  </si>
  <si>
    <t xml:space="preserve">O8</t>
  </si>
  <si>
    <t xml:space="preserve">Connor Haley states that heavy borrowing means even a well-run company can be wiped out by a shock it didn't cause, because debt leaves no time to wait for normal conditions. A mentioned example: a restaurant stock that borrowed for an acquisition just before COVID; its CEO talked of selling wine inventory for cash, so Alta Fox sold. It survived, but he defends the sale. Brian Gaines states that a heavily indebted company's shares become an option bet rather than a business you can value, because with large debt against a small equity base, "the movements in the stock price don't mean much" for the company's value. A mentioned example: Movie Gallery, with $1.1 billion of debt against 30 million shares.</t>
  </si>
  <si>
    <t xml:space="preserve">O9</t>
  </si>
  <si>
    <t xml:space="preserve">No investor source: a minimum market value keeps out stocks too small to buy without moving the price.</t>
  </si>
  <si>
    <t xml:space="preserve">O10</t>
  </si>
  <si>
    <t xml:space="preserve">Avg daily value traded &gt;= $100k</t>
  </si>
  <si>
    <t xml:space="preserve">No investor source: enough daily trading is needed to get in and out without a big price impact.</t>
  </si>
  <si>
    <t xml:space="preserve">O11</t>
  </si>
  <si>
    <t xml:space="preserve">EV / EBIT &lt;= 20x</t>
  </si>
  <si>
    <t xml:space="preserve">Murray Stahl states that owner-operators often carry the lowest valuations, something he said shouldn't exist yet does, because float-weighted index money underweights firms with large insider stakes, so fewer buyers bid them up. A price cap therefore rarely shuts out good owner-operators. No specific past example given. Joel Greenblatt states that price should be judged as enterprise value against pre-tax operating profit (EBIT), because that compares companies fairly whatever their debt and tax; even 12x EBIT needs a pretty good business. A mentioned example: he bought Moody's at a P/E of 20, not what he would normally do, because the business was so good.</t>
  </si>
  <si>
    <t xml:space="preserve">Entry discount the thesis relies on.</t>
  </si>
  <si>
    <t xml:space="preserve">Murray Stahl states that flat revenues, rising costs, too much debt and near-term maturities mark a bad company (from a 1985 lecture recalled by co-founder Steven Bregman), because shrinking sales and squeezed margins leave less cash to meet obligations. No specific past example given. Brian Gaines states that a sudden drop in profit per sale can mean the business economics are broken, because a dominant rival's price move can permanently cut what each sale earns. A mentioned example: when Blockbuster dropped late fees he worked out gross profit per movie falling to about $1.69, called the business "absolutely destroyed" and sold Movie Gallery. Joel Greenblatt, passing on a question Rich Pzena asks, states that a troubled stock needs one answer: is the problem temporary or permanent, because temporary problems can recover while permanent ones keep eroding value. No specific past example given.</t>
  </si>
  <si>
    <t xml:space="preserve">Founder/family vs parent company, pay structure, related-party deals, voting classes, succession</t>
  </si>
  <si>
    <t xml:space="preserve">Murray Stahl states that an agent-operator, a manager paid in ways unrelated to the long-term value of the shares, is a red flag, because such a manager can do well while shareholders don't, unlike an owner-operator. No specific past example given. Chris Davis states that long-dated pay means a management culture built for the long term, because executives can't cash in on short-term moves. A mentioned example: Exxon, whose executive pay vests 10 years after retirement, a culture he says you could see in its proxy statements for years. Connor Haley states that pay tied to stock rather than cash, and how management uses spare cash, show whether managers truly serve shareholders, because ownership alone doesn't guarantee good capital allocation. A mentioned example: Collectors Universe, Alta Fox's first activist campaign, paid out cash as dividends despite amazing reinvestment opportunities, which wasn't readily apparent in the financials.</t>
  </si>
  <si>
    <t xml:space="preserve">Needs the proxy statement (DEF 14A); not parsed.</t>
  </si>
  <si>
    <t xml:space="preserve">Hard Assets &amp; Royalties</t>
  </si>
  <si>
    <t xml:space="preserve">Land, mineral/royalty, oil &amp; gas, timber, pipeline and water owners (no REITs)</t>
  </si>
  <si>
    <t xml:space="preserve">Murray Stahl states that owning land, royalties, water and similar hard assets means exposure to the tangible assets the S&amp;P 500 barely holds, because owners collect income without running or funding the operation, and it tends to rise with inflation. A mentioned example: Texas Pacific Land, which he owned from 1984, whose easement and water income grew once fracking operators had to cross its land.</t>
  </si>
  <si>
    <t xml:space="preserve">Where royalty-like assets sit.</t>
  </si>
  <si>
    <t xml:space="preserve">Uses SEC industry (SIC) code; codes can be coarse or outdated (manual override list exists). R4 separates owners from producers.</t>
  </si>
  <si>
    <t xml:space="preserve">R1</t>
  </si>
  <si>
    <t xml:space="preserve">Joel Greenblatt states that judging a cyclical business needs several years of results, because last year's high return on capital could be a cyclical peak; he gives an oil company's high return last year as an illustration of a number that may not last. No specific past example given. Terry Smith states that a real grower should be bigger at each peak and each trough of the business cycle than at the previous ones, because that separates lasting growth from cyclical swings, and only several years of data can show it. No specific past example given.</t>
  </si>
  <si>
    <t xml:space="preserve">R2</t>
  </si>
  <si>
    <t xml:space="preserve">R3</t>
  </si>
  <si>
    <t xml:space="preserve">Revenue &gt;= $25M</t>
  </si>
  <si>
    <t xml:space="preserve">R4</t>
  </si>
  <si>
    <t xml:space="preserve">Little reinvestment</t>
  </si>
  <si>
    <t xml:space="preserve">Capex / operating cash flow (3 yrs) &lt;= 20%</t>
  </si>
  <si>
    <t xml:space="preserve">Murray Stahl states that a royalty or land company needing almost no reinvestment means shareholders truly own its earnings, because no cash must be spent to keep the income coming; he called a royalty a call option on everything. A mentioned example: Texas Pacific Land, which has no reinvestment requirement; one royalty company even held more reserves after 30 years. Joel Greenblatt states that growth needing no reinvestment means each dollar of earnings is worth more, because the owner keeps the full dollar instead of putting part back into the business. A mentioned example: Moody's reinvested nothing, while Coca-Cola had to reinvest about 20% of its earnings to grow.</t>
  </si>
  <si>
    <t xml:space="preserve">Separates royalty owners from producers.</t>
  </si>
  <si>
    <t xml:space="preserve">R5</t>
  </si>
  <si>
    <t xml:space="preserve">Royalty-like margins</t>
  </si>
  <si>
    <t xml:space="preserve">10-yr median operating margin &gt;= 30%</t>
  </si>
  <si>
    <t xml:space="preserve">Murray Stahl states that very high margins mean a company owns the asset rather than works it, because the royalty holder does not run the mine, so when output rises "it goes to the bottom line because it's a royalty". A mentioned example: Franco-Nevada, where two-thirds to 70% of its royalty assets produce no gold until gold prices are considerably higher.</t>
  </si>
  <si>
    <t xml:space="preserve">Confirms owner economics.</t>
  </si>
  <si>
    <t xml:space="preserve">R6</t>
  </si>
  <si>
    <t xml:space="preserve">Joel Greenblatt states that a business should be judged on normalized earnings across good and bad years, because one weak year says little if it earns steadily the rest of the time: $10 a year for nine years and break-even in one is roughly $9 of normal earnings. No specific past example given.</t>
  </si>
  <si>
    <t xml:space="preserve">Resilience.</t>
  </si>
  <si>
    <t xml:space="preserve">R7</t>
  </si>
  <si>
    <t xml:space="preserve">Murray Stahl states that too much debt and near-term maturities mark a bad company (from a 1985 lecture recalled by co-founder Steven Bregman), because debt has to be repaid on schedule whatever happens to revenue. No specific past example given. Sander Gerber states that heavy leverage built up when rates were low means financial structures may break, because if long-term rates stay higher, borrowers can't refinance at the same rate or make their debt payments. No specific past example given.</t>
  </si>
  <si>
    <t xml:space="preserve">R8</t>
  </si>
  <si>
    <t xml:space="preserve">R9</t>
  </si>
  <si>
    <t xml:space="preserve">R10</t>
  </si>
  <si>
    <t xml:space="preserve">EV / EBIT &lt;= 25x</t>
  </si>
  <si>
    <t xml:space="preserve">Murray Stahl states that a royalty company can merit a higher earnings multiple than a business that must reinvest, because its owners keep all the earnings, so other firms' P/Es should be adjusted for required reinvestment. Yet he still bought cheap. A mentioned example: in 1995 the market valued Texas Pacific Land at about $54 an acre while its land sales averaged $192. Joel Greenblatt states that even a great business that needs no reinvestment has a price limit, because the earnings yield must still clear a floor; he would "never use less than six percent". A mentioned example: he paid a P/E of 20 for Moody's, above his norm, but said he wouldn't pay 30 times earnings for most businesses.</t>
  </si>
  <si>
    <t xml:space="preserve">Avoids overpaying.</t>
  </si>
  <si>
    <t xml:space="preserve">Dormant assets not on the books, single-commodity dependence, trust end dates, operator quality</t>
  </si>
  <si>
    <t xml:space="preserve">Murray Stahl states that hidden assets, dependence on one commodity and the operator's choices all matter for royalty owners, because accounting can carry land at no value and a royalty's cash rides on one commodity and the operator's decisions. A mentioned example: San Juan Basin Royalty Trust, 99.8% gas, cut its payout to zero to fund operator Hilcorp's capex; Texas Pacific Land once assigned its property no value.</t>
  </si>
  <si>
    <t xml:space="preserve">Asset-Floor Value</t>
  </si>
  <si>
    <t xml:space="preserve">All except funds/SPACs/REITs, banks, insurers, real estate</t>
  </si>
  <si>
    <t xml:space="preserve">Joel Greenblatt states that many financial firms are black boxes, because their assets and risks are hard to see from outside, so you must know them very well and size them smaller. A mentioned example: Refco, a big audited firm that had just gone public, hit sudden trouble in October 2005.</t>
  </si>
  <si>
    <t xml:space="preserve">Broad hunt for deep value.</t>
  </si>
  <si>
    <t xml:space="preserve">BDCs/lenders slip in -&gt; often 'no data'.</t>
  </si>
  <si>
    <t xml:space="preserve">K1</t>
  </si>
  <si>
    <t xml:space="preserve">&gt;= 3 years of data</t>
  </si>
  <si>
    <t xml:space="preserve">Joel Greenblatt states that several years of results show normal earning power, because one bad year shouldn't set the value: $10 a year for nine years and zero in one is about $9. A mentioned example: Wells Fargo, earning about $18 a share at roughly $70, could earn zero in a California property bust yet stay valuable.</t>
  </si>
  <si>
    <t xml:space="preserve">K2</t>
  </si>
  <si>
    <t xml:space="preserve">K3</t>
  </si>
  <si>
    <t xml:space="preserve">No investor source: the floor is measured on the latest balance sheet, so it must be recent.</t>
  </si>
  <si>
    <t xml:space="preserve">K4</t>
  </si>
  <si>
    <t xml:space="preserve">Below a hard floor</t>
  </si>
  <si>
    <t xml:space="preserve">Market cap &lt;= 1.0x net cash, or price &lt;= 1.0x tangible book</t>
  </si>
  <si>
    <t xml:space="preserve">Prem Watsa states that buying below cash per share gives you the rest of the business for free, because the cash alone covers the price, leaving plants and inventories as a bonus. A mentioned example: Fairfax bought Seagram at about $65 a share against roughly $70 of cash per share, and the stock doubled and tripled. Joel Greenblatt states that a stock selling at its cash, with a business not burning money, is a bargain worth a look, because management has no incentive to waste the cash and the business may turn into something: "almost like a free option". No specific past example given.</t>
  </si>
  <si>
    <t xml:space="preserve">Hard downside floor (the thesis).</t>
  </si>
  <si>
    <t xml:space="preserve">Price x SEC share count. Unreliable for ADRs (ADR ratio unknown), multi-class shares or missing share counts -&gt; 'check manually' (~150 ADRs last run). Tangible book ignores off-balance-sheet liabilities.</t>
  </si>
  <si>
    <t xml:space="preserve">K5</t>
  </si>
  <si>
    <t xml:space="preserve">Not burning the floor</t>
  </si>
  <si>
    <t xml:space="preserve">Operating cash flow &gt;= 0, or &gt;= 4 yrs of cash</t>
  </si>
  <si>
    <t xml:space="preserve">Joel Greenblatt states that a cash floor only counts if the business is not burning money, because then the cash stays and the business is a near-free option on top. No specific past example given. Dave Johnson states that the floor is net cash after the burn ahead, because cash spent before the next result no longer protects you. A mentioned example: MorphoSys was still expected to hold net cash at end-2023 after more than €200 million of burn to its Phase 3 readout.</t>
  </si>
  <si>
    <t xml:space="preserve">Floor stays intact.</t>
  </si>
  <si>
    <t xml:space="preserve">K6</t>
  </si>
  <si>
    <t xml:space="preserve">Usually profitable</t>
  </si>
  <si>
    <t xml:space="preserve">Profitable in &gt;= 60% of years</t>
  </si>
  <si>
    <t xml:space="preserve">Chris Davis states that a cheap business that earns little is a value trap, because a holder's return drifts toward the business's own return on equity: a 4% earner bought at half of book still earns about 4%, unless a catalyst such as liquidation or new management arrives. No specific past example given. Joel Greenblatt states that the key test for a cheap stock is whether its problem is permanent or short-term, because a temporary dip recovers while a permanent one doesn't. A mentioned example: Rich Pzena researched Lear and judged its problem temporary.</t>
  </si>
  <si>
    <t xml:space="preserve">Avoids value traps.</t>
  </si>
  <si>
    <t xml:space="preserve">K7</t>
  </si>
  <si>
    <t xml:space="preserve">Joel Greenblatt states that debt can erase an apparent margin of safety, because value must be judged on enterprise value, not just the share price: a $5 stock worth $10 carrying $40 a share of debt is really a $45 purchase. No specific past example given. Brian Gaines states that a heavily levered company's shares are an option bet, because banks can force bankruptcy in a bad patch and share-price moves say little about value. A mentioned example: Movie Gallery, with $1.1 billion of debt and about 30 million shares, fell to $6.80 by late 2005.</t>
  </si>
  <si>
    <t xml:space="preserve">K8</t>
  </si>
  <si>
    <t xml:space="preserve">K9</t>
  </si>
  <si>
    <t xml:space="preserve">Will management waste the cash? Cash trapped abroad / VIE? Real inventories? Off-balance-sheet items? Catalyst?</t>
  </si>
  <si>
    <t xml:space="preserve">Prem Watsa states that management is the single biggest factor in avoiding value traps, because a cheap stock only pays if the people running it don't waste its assets; check their long record. A mentioned example: Seagram's management did eventually waste its cash, but only about 25 years after Fairfax bought below cash. Joel Greenblatt states that reported cash is not always spare cash, because each business needs different working capital, so you can't simply subtract all cash when valuing it. No specific past example given. Chris Davis states that you must value the whole business like a private buyer, because debt, unfunded pensions and other senior claims come first, while hidden assets such as real estate at cost may add value. No specific past example given.</t>
  </si>
  <si>
    <t xml:space="preserve">Trough Cyclical Cash</t>
  </si>
  <si>
    <t xml:space="preserve">Same as Cyclicals</t>
  </si>
  <si>
    <t xml:space="preserve">David Einhorn states that hunting in cyclical industries (materials, energy, transport, housing, machinery) means looking where capital has been starved, because after years of underinvestment there is little new supply, so producers can earn "excess profits for an extended period of time". A mentioned example: in May 2022 he named cement, steel, fertilizer, chemicals, paper, mining, traditional energy and housing as industries starved of investment for years.</t>
  </si>
  <si>
    <t xml:space="preserve">Same as Cyclicals.</t>
  </si>
  <si>
    <t xml:space="preserve">T1</t>
  </si>
  <si>
    <t xml:space="preserve">&gt;= 7 years of data</t>
  </si>
  <si>
    <t xml:space="preserve">Joel Greenblatt states that judging a cyclical needs many years of numbers, because he works out "the normalized trend line" of earnings and pays a low multiple on that, not on one good or bad year. No specific past example given. David Einhorn states that a long record shows whether this year is a trough or mid-cycle, because only earlier years show what normal looks like. A mentioned example: Solvay's soda ash 2024 was forecast to look like 2019, a below-normal year, but he called 2024 "a trough result rather than a midcycle result".</t>
  </si>
  <si>
    <t xml:space="preserve">T2</t>
  </si>
  <si>
    <t xml:space="preserve">No investor source: an old annual report can hide a recent collapse, so the latest numbers must be current.</t>
  </si>
  <si>
    <t xml:space="preserve">T3</t>
  </si>
  <si>
    <t xml:space="preserve">T4</t>
  </si>
  <si>
    <t xml:space="preserve">Margins below normal</t>
  </si>
  <si>
    <t xml:space="preserve">David Einhorn states that a margin in the lower half of the company's own 10-year range means you may be buying at the trough, not mid-cycle, because depressed profits make the stock look dearer than it is and should recover as the cycle turns. A mentioned example: Solvay's 2024 was forecast to "look a lot like 2019"; he called it a trough, and management agreed. Connor Haley states that a cyclical belongs on his buy list when it trades at "a trough multiple and trough margins", because buying while margins are depressed leaves room for profits to rise rather than fall. No specific past example given.</t>
  </si>
  <si>
    <t xml:space="preserve">Cycle timing.</t>
  </si>
  <si>
    <t xml:space="preserve">T5</t>
  </si>
  <si>
    <t xml:space="preserve">Cash through the cycle</t>
  </si>
  <si>
    <t xml:space="preserve">&lt;= 3 negative-FCF years and 5-yr avg FCF &gt; 0</t>
  </si>
  <si>
    <t xml:space="preserve">David Einhorn states that free cash flow staying positive through the cycle means the company pays you while you wait for the recovery, because cash left after essential capex funds dividends and buybacks even in a weak year. A mentioned example: Solvay, at its 2024 trough, expected to earn its whole market value in free cash flow over 5 years; he said "just the dividend will return half the market cap".</t>
  </si>
  <si>
    <t xml:space="preserve">Cash machine through the cycle.</t>
  </si>
  <si>
    <t xml:space="preserve">Energy producers often tag capex non-standard -&gt; too few FCF years (~8 flagged).</t>
  </si>
  <si>
    <t xml:space="preserve">T6</t>
  </si>
  <si>
    <t xml:space="preserve">Not adding capacity</t>
  </si>
  <si>
    <t xml:space="preserve">Capex / D&amp;A (3 yrs) &lt;= 1.3</t>
  </si>
  <si>
    <t xml:space="preserve">David Einhorn states that capex close to depreciation means the company is maintaining plants, not expanding, because when "higher prices aren't fueling new capacity instead they're fueling buybacks", supply stays tight and high prices last. A mentioned example: in May 2022 he saw this in cement, steel, fertilizer, chemicals and mining after a decade of underinvestment, at "very low p e multiples".</t>
  </si>
  <si>
    <t xml:space="preserve">Supply side of the thesis.</t>
  </si>
  <si>
    <t xml:space="preserve">Capex or D&amp;A untagged for some producers (~8 flagged).</t>
  </si>
  <si>
    <t xml:space="preserve">T7</t>
  </si>
  <si>
    <t xml:space="preserve">Brian Gaines states that low debt against normal earnings means a bad year can't hand the company to its lenders, because bank debt can force bankruptcy in a downturn and a heavily indebted stock becomes "an option bet". A mentioned example: he called Movie Gallery, with $1.1 billion of debt on 30 million shares, an option bet. Ricky Sandler states that a debt limit guards against a bias his mistake reviews check for: getting "sucked into too many things that are cheap but they have leverage". No specific past example given.</t>
  </si>
  <si>
    <t xml:space="preserve">T8</t>
  </si>
  <si>
    <t xml:space="preserve">Cash yield on the cycle</t>
  </si>
  <si>
    <t xml:space="preserve">5-yr avg FCF / market cap &gt;= 10%</t>
  </si>
  <si>
    <t xml:space="preserve">David Einhorn states that a high five-year average free-cash-flow yield means the price can come back to owners in cash within one cycle, because cash after capex is what pays dividends and buybacks. A mentioned example: in Apr 2024 Solvay, with a €2.7 billion market cap, expected to earn its whole market value in free cash flow over 5 years. Joel Greenblatt states that the cash a business throws off can be valued directly: project about eight years, ignore any terminal value and pay roughly half the cash, for about a 24% yearly return. No specific past example given.</t>
  </si>
  <si>
    <t xml:space="preserve">Cheap on through-cycle cash.</t>
  </si>
  <si>
    <t xml:space="preserve">Price x SEC share count. Unreliable for ADRs (ADR ratio unknown), multi-class shares or missing share counts -&gt; 'check manually' (~150 ADRs last run). Needs 5 yrs of FCF.</t>
  </si>
  <si>
    <t xml:space="preserve">T9</t>
  </si>
  <si>
    <t xml:space="preserve">Market cap &gt;= $200M</t>
  </si>
  <si>
    <t xml:space="preserve">No investor source: a company this small can't be bought or sold in useful size without moving the price.</t>
  </si>
  <si>
    <t xml:space="preserve">T10</t>
  </si>
  <si>
    <t xml:space="preserve">No investor source: thin daily trading makes it hard to get in and out without moving the price.</t>
  </si>
  <si>
    <t xml:space="preserve">Rank</t>
  </si>
  <si>
    <t xml:space="preserve">Industry returning cash</t>
  </si>
  <si>
    <t xml:space="preserve">Industry buybacks + dividends / capex (ranks only)</t>
  </si>
  <si>
    <t xml:space="preserve">Ranking</t>
  </si>
  <si>
    <t xml:space="preserve">David Einhorn states that an industry paying out more in buybacks and dividends than it spends on capex means supply is not being added, because when "higher prices aren't fueling new capacity instead they're fueling buybacks", demand must fall before prices do. A mentioned example: in May 2022 he said cement, steel, fertilizer, chemicals and mining should earn excess profits for years because of this.</t>
  </si>
  <si>
    <t xml:space="preserve">Supply discipline at industry level.</t>
  </si>
  <si>
    <t xml:space="preserve">Industry = SIC group; coarse.</t>
  </si>
  <si>
    <t xml:space="preserve">Trough vs mid-cycle, supply leaving the industry, bear case vs revenue mix, freight/regulation protection</t>
  </si>
  <si>
    <t xml:space="preserve">David Einhorn states that the key questions here need reading, not screening: is this the trough or mid-cycle, is the bear case about one segment, and do freight costs shield regional prices? Soda ash "doesn't cost much but it weighs a lot", so markets are regional. A mentioned example: on Solvay, sell-side reports focused on soda ash though about 70% of revenue came from other products.</t>
  </si>
  <si>
    <t xml:space="preserve">Hidden Earnings</t>
  </si>
  <si>
    <t xml:space="preserve">Same as Asset-Floor</t>
  </si>
  <si>
    <t xml:space="preserve">Joel Greenblatt states that leaving out banks, insurers and similar firms means only companies where enterprise value and operating profit mean something are compared, because those measures say little about a business whose balance sheet is its product. A mentioned example: his magic-formula study left out financials, roughly 20% of the market, to keep the EV-to-EBIT analysis simple.</t>
  </si>
  <si>
    <t xml:space="preserve">Broad hunt.</t>
  </si>
  <si>
    <t xml:space="preserve">X1</t>
  </si>
  <si>
    <t xml:space="preserve">Joel Greenblatt states that a business should be judged on several years, not the latest one, because normalized earnings smooth out a bad year: earning $10 for nine years and nothing in one is "pretty close to nine bucks" a year. No specific past example given.</t>
  </si>
  <si>
    <t xml:space="preserve">X2</t>
  </si>
  <si>
    <t xml:space="preserve">X3</t>
  </si>
  <si>
    <t xml:space="preserve">Something the market is ignoring</t>
  </si>
  <si>
    <t xml:space="preserve">Discontinued ops &gt;= 1% of revenue (3 yrs), or price &gt;= 40% below 12-mo high</t>
  </si>
  <si>
    <t xml:space="preserve">David Einhorn states that a stock whose research fixates on one feared segment means the rest of the business is being ignored and underpriced. A mentioned example: after Solvay's Dec 2023 spin-off, sell-side reports focused on soda ash though about 70% of revenue came from other products. Murray Stahl states that discontinued operations mean the parent's averages jump once the weak unit leaves, because, as when the worst student is expelled, the average rises though nobody improved: "It's just a different way of calculating." So the opportunity is the parent. No specific past example given. Ricky Sandler states that quant funds bucket stocks on trailing numbers, so a business exiting a losing unit gets mislabelled. A mentioned example: Zillow was lumped in with "unprofitable growth" though its core was profitable after it sold home flipping.</t>
  </si>
  <si>
    <t xml:space="preserve">The mispricing trigger.</t>
  </si>
  <si>
    <t xml:space="preserve">Discontinued-ops tags used inconsistently; 12-mo high needs stored price history + split list (else no data).</t>
  </si>
  <si>
    <t xml:space="preserve">X4</t>
  </si>
  <si>
    <t xml:space="preserve">Still earning</t>
  </si>
  <si>
    <t xml:space="preserve">Ricky Sandler states that operating income being positive today means the business left after an exit really earns money, because a loss from a unit being sold can make a profitable core look unprofitable on trailing figures. A mentioned example: Zillow looked unprofitable on a trailing basis, but the losses came from the home-flipping business it sold; "the core business is profitable".</t>
  </si>
  <si>
    <t xml:space="preserve">Not a broken company.</t>
  </si>
  <si>
    <t xml:space="preserve">X5</t>
  </si>
  <si>
    <t xml:space="preserve">Sales holding up</t>
  </si>
  <si>
    <t xml:space="preserve">3-yr revenue CAGR &gt;= -5%</t>
  </si>
  <si>
    <t xml:space="preserve">Joel Greenblatt, relaying Rich Pzena, states that the key question for a cheap, troubled stock is whether its problem is temporary or permanent, because a temporary dip recovers while a permanent decline keeps shrinking the business. A mentioned example: Lear's slump looked mostly temporary, from pricing concessions, while a big seating competitor never had the same downdraft.</t>
  </si>
  <si>
    <t xml:space="preserve">Separates dip from decline.</t>
  </si>
  <si>
    <t xml:space="preserve">X6</t>
  </si>
  <si>
    <t xml:space="preserve">Still generating cash</t>
  </si>
  <si>
    <t xml:space="preserve">TTM FCF &gt; 0</t>
  </si>
  <si>
    <t xml:space="preserve">Connor Haley states that positive free cash flow is a sturdier test than reported profit, because earnings and EBITDA, unlike free cash flow, "can be easily manipulated". No specific past example given.</t>
  </si>
  <si>
    <t xml:space="preserve">X7</t>
  </si>
  <si>
    <t xml:space="preserve">10-yr median ROIC &gt;= 8%</t>
  </si>
  <si>
    <t xml:space="preserve">Joel Greenblatt states that a cheap idea should also be a good business, judged by return on tangible capital, because high returns show the business itself earns well; he says a pre-tax return of 14% is generally "not good". No specific past example given. Brian Gaines states that even a fading business can be worth owning if it still earns high returns. A mentioned example: in early 2004 Hollywood Video's whole-company return on invested capital was 41.7%.</t>
  </si>
  <si>
    <t xml:space="preserve">X8</t>
  </si>
  <si>
    <t xml:space="preserve">Brian Gaines states that capital structure decides whether a messy situation is investable, because bank debt can force bankruptcy and a heavily indebted stock becomes "an option bet". A mentioned example: he called Movie Gallery, with $1.1 billion of debt on 30 million shares, an option bet. Ricky Sandler states that a debt limit guards against a bias his mistake reviews check for: getting "sucked into too many things that are cheap but they have leverage". No specific past example given.</t>
  </si>
  <si>
    <t xml:space="preserve">X9</t>
  </si>
  <si>
    <t xml:space="preserve">Joel Greenblatt states that a messy situation works best bought at a low EV/EBIT, because cheapness is the margin of safety if the story takes longer; he would "never use less than six percent" as a yield, and 12x EBIT needs "a pretty good business". A mentioned example: Sears's retail business, net of its Allstate and Dean Witter stakes, cost about $5 a share and went to $30 two months later.</t>
  </si>
  <si>
    <t xml:space="preserve">Margin of safety.</t>
  </si>
  <si>
    <t xml:space="preserve">X10</t>
  </si>
  <si>
    <t xml:space="preserve">X11</t>
  </si>
  <si>
    <t xml:space="preserve">Which segment is feared, revenue elsewhere, parent ex-unit, why price fell, who is forced to sell</t>
  </si>
  <si>
    <t xml:space="preserve">David Einhorn states that a reviewer must read which segment the bears fear and where revenue really comes from, because a screen can't see coverage tunnel vision. A mentioned example: Solvay's sell-side wrote about soda ash though about 70% of revenue was other products. Murray Stahl states that the parent left after a spin-off should be judged without the unit, "just a different way of calculating". No specific past example given. Joel Greenblatt states that someone forced to sell explains many low prices: creditors handed equity in a bankruptcy "usually sell it", and analysts drop coverage "until the smoke is cleared". A mentioned example: Nextel's international affiliate, under-followed after bankruptcy, traded at 2.8x EBITDA vs 6.7x for peers.</t>
  </si>
  <si>
    <t xml:space="preserve">Needs segment notes; not parsed.</t>
  </si>
  <si>
    <t xml:space="preserve">Red Flags (avoid)</t>
  </si>
  <si>
    <t xml:space="preserve">Same as Asset-Floor, minus clinical-stage biotech</t>
  </si>
  <si>
    <t xml:space="preserve">Eli Casdin states that clinical-stage biotechs burn cash by design, because they fund years of trials before revenue, so losses and new share issues are normal, not signs of decline. A mentioned example: he says such companies burn $100–150 million every 12 to 24 months, so he adds capital over time. Joel Greenblatt states that leaving out banks, insurers and similar firms means only companies where enterprise value and operating profit mean something are compared, because those measures say little about a business whose balance sheet is its product. A mentioned example: his magic-formula study left out financials, roughly 20% of the market, to keep the EV-to-EBIT analysis simple.</t>
  </si>
  <si>
    <t xml:space="preserve">Avoids false alarms.</t>
  </si>
  <si>
    <t xml:space="preserve">W1</t>
  </si>
  <si>
    <t xml:space="preserve">No investor source: three years is the minimum needed to see whether growth and margins are trending down.</t>
  </si>
  <si>
    <t xml:space="preserve">W2</t>
  </si>
  <si>
    <t xml:space="preserve">W3</t>
  </si>
  <si>
    <t xml:space="preserve">Priced for perfection</t>
  </si>
  <si>
    <t xml:space="preserve">EV / sales &gt;= 6x</t>
  </si>
  <si>
    <t xml:space="preserve">David Einhorn states that a very high price is the first half of a short but generally not enough alone: "we don't short companies on what we think to be valuation". A mentioned example: his bubble basket of about 40 or 50 stocks valued 90% below their price; many failed or de-rated, though a few rose sharply. Stanley Druckenmiller states that a high EV/sales stock can lose money even if forecasts come true, because the multiple can shrink. A mentioned example: in 2018 cloud stocks at ten times sales falling to six times would lose him money, and Alibaba beat estimates yet fell from 210 to 165.</t>
  </si>
  <si>
    <t xml:space="preserve">First half of the avoid case.</t>
  </si>
  <si>
    <t xml:space="preserve">W4</t>
  </si>
  <si>
    <t xml:space="preserve">Something is breaking</t>
  </si>
  <si>
    <t xml:space="preserve">&gt;= 2 of: growth &lt; half its 3-yr rate; gross margin down 3 yrs; op margin down &gt;= 5 pts; TTM loss; dilution &gt;= 5%/yr; shrinking revenue</t>
  </si>
  <si>
    <t xml:space="preserve">David Einhorn states that a short needs "over valuation combined with some kind of deterioration", because an expensive stock can stay expensive until the business visibly weakens. A mentioned example: in his bubble basket he would change his view on names once they "start showing real profits". Steve Cohen states that slowing growth on a high multiple is "a mix that doesn't give you much upside", because the price still assumes growth that is fading. No specific past example given; he said this of the market in May 2025.</t>
  </si>
  <si>
    <t xml:space="preserve">Second half of the avoid case.</t>
  </si>
  <si>
    <t xml:space="preserve">Needs 3 yrs of tagged history (~28 can't be judged).</t>
  </si>
  <si>
    <t xml:space="preserve">W5</t>
  </si>
  <si>
    <t xml:space="preserve">Market cap &gt;= $500M</t>
  </si>
  <si>
    <t xml:space="preserve">Ricky Sandler states that a larger, steadier company can carry a bigger short position, because it is less likely to be squeezed, while a small, crowded short must stay tiny. A mentioned example: a stable $40 billion name with little short interest could be 150 basis points, but a $3–4 billion name with 15% short interest and heavy Reddit attention gets at most 85.</t>
  </si>
  <si>
    <t xml:space="preserve">Big enough to matter.</t>
  </si>
  <si>
    <t xml:space="preserve">W6</t>
  </si>
  <si>
    <t xml:space="preserve">Avg daily value traded &gt;= $1M</t>
  </si>
  <si>
    <t xml:space="preserve">One-off vs real deterioration, short interest/squeeze risk, AI disruption, insider selling</t>
  </si>
  <si>
    <t xml:space="preserve">Ricky Sandler states that short interest and squeeze risk must be judged by hand, because a crowded short can double before fundamentals matter. A mentioned example: he caps a $3–4 billion stock with 15% short interest in Reddit's top 50 at 85 basis points, to ride through a 100% squeeze. Eduardo Marques states that AI disruption may not show in current numbers, so "the best short ideas are actually high quality compounding great businesses" facing "service level deflation". A mentioned example: he is short REA, Australia's online real-estate classifieds company.</t>
  </si>
  <si>
    <t xml:space="preserve">Short interest and insider-trade data not connected.</t>
  </si>
  <si>
    <t xml:space="preserve">'Cheap enough' rule (pass/fail)</t>
  </si>
  <si>
    <t xml:space="preserve">Kind</t>
  </si>
  <si>
    <t xml:space="preserve">Vs peers</t>
  </si>
  <si>
    <t xml:space="preserve">Vs own history</t>
  </si>
  <si>
    <t xml:space="preserve">Implied return / DCF</t>
  </si>
  <si>
    <t xml:space="preserve">None (price-blind)</t>
  </si>
  <si>
    <t xml:space="preserve">Shown on site (industry median, green/red); not a rule</t>
  </si>
  <si>
    <t xml:space="preserve">EV/EBITDA &lt;= 20x</t>
  </si>
  <si>
    <t xml:space="preserve">Absolute multiple</t>
  </si>
  <si>
    <t xml:space="preserve">EV/EBIT &lt;= 15x</t>
  </si>
  <si>
    <t xml:space="preserve">EV/cash &lt;= 0.25</t>
  </si>
  <si>
    <t xml:space="preserve">Asset floor</t>
  </si>
  <si>
    <t xml:space="preserve">Absolute, on normalized earnings</t>
  </si>
  <si>
    <t xml:space="preserve">EV/EBIT &lt;= 20x</t>
  </si>
  <si>
    <t xml:space="preserve">EV/EBIT &lt;= 25x</t>
  </si>
  <si>
    <t xml:space="preserve">Mcap &lt;= net cash, or P/TBV &lt;= 1.0x</t>
  </si>
  <si>
    <t xml:space="preserve">5-yr avg FCF yield &gt;= 10%</t>
  </si>
  <si>
    <t xml:space="preserve">Absolute, on cycle-average cash</t>
  </si>
  <si>
    <t xml:space="preserve">EV/sales &gt;= 6x (expensive = flag)</t>
  </si>
  <si>
    <t xml:space="preserve">Answer: 9 of 13 screens have an absolute 'cheap enough' rule. None compares price to peers or to the company's own past multiples as a pass/fail rule.</t>
  </si>
  <si>
    <t xml:space="preserve">Core, Fortress and HC Commercial are price-blind by design: they show P/E, EV/EBITDA, FCF yield and peer medians, but never exclude on price.</t>
  </si>
  <si>
    <t xml:space="preserve">Possible adds: (1) peer-relative rule, e.g. EV/EBIT &lt;= industry median (data already computed); (2) FCF-yield hurdle for Core/Fortress/HC; (3) own 5-10 yr multiple percentile (needs multi-year price history, not stored now).</t>
  </si>
  <si>
    <t xml:space="preserve">Total</t>
  </si>
  <si>
    <t xml:space="preserve">% Easy</t>
  </si>
  <si>
    <t xml:space="preserve">All screens</t>
  </si>
  <si>
    <t xml:space="preserve">Legend</t>
  </si>
  <si>
    <t xml:space="preserve">Checked automatically from SEC XBRL / price data and reliable for nearly all companies; rare exceptions are auto-flagged.</t>
  </si>
  <si>
    <t xml:space="preserve">Automatic for most, but a known group (ADRs, multi-class shares, foreign filers, untagged items) lands in 'check manually'.</t>
  </si>
  <si>
    <t xml:space="preserve">Not checked by numbers: warning flags or judgment items for the AI review + you.</t>
  </si>
  <si>
    <t xml:space="preserve">No rule (price-blind screens).</t>
  </si>
  <si>
    <t xml:space="preserve">Rationale</t>
  </si>
  <si>
    <t xml:space="preserve">Format: investor states that X means Y, because Z; example. Checked against all 146 transcripts. 'No investor source' = practical data rule.</t>
  </si>
  <si>
    <t xml:space="preserve">Note</t>
  </si>
  <si>
    <t xml:space="preserve">Each row is in config.json; thresholds can be changed there. Counts like '~150' are from the 7 Oct 2026 check-manually report.</t>
  </si>
</sst>
</file>

<file path=xl/styles.xml><?xml version="1.0" encoding="utf-8"?>
<styleSheet xmlns="http://schemas.openxmlformats.org/spreadsheetml/2006/main">
  <numFmts count="3">
    <numFmt numFmtId="164" formatCode="General"/>
    <numFmt numFmtId="165" formatCode="General"/>
    <numFmt numFmtId="166" formatCode="0%"/>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9"/>
      <name val="Arial"/>
      <family val="0"/>
      <charset val="1"/>
    </font>
    <font>
      <sz val="9"/>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FFF2CC"/>
        <bgColor rgb="FFEDEDED"/>
      </patternFill>
    </fill>
    <fill>
      <patternFill patternType="solid">
        <fgColor rgb="FFF8CBAD"/>
        <bgColor rgb="FFD9D9D9"/>
      </patternFill>
    </fill>
    <fill>
      <patternFill patternType="solid">
        <fgColor rgb="FFEDEDED"/>
        <bgColor rgb="FFE2EFDA"/>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FF2CC"/>
          <bgColor rgb="FF000000"/>
        </patternFill>
      </fill>
    </dxf>
    <dxf>
      <fill>
        <patternFill>
          <bgColor rgb="FFE2EFDA"/>
        </patternFill>
      </fill>
    </dxf>
    <dxf>
      <fill>
        <patternFill>
          <bgColor rgb="FFFFF2CC"/>
        </patternFill>
      </fill>
    </dxf>
    <dxf>
      <fill>
        <patternFill>
          <bgColor rgb="FFF8CBAD"/>
        </patternFill>
      </fill>
    </dxf>
    <dxf>
      <fill>
        <patternFill>
          <bgColor rgb="FFEDEDED"/>
        </patternFill>
      </fill>
    </dxf>
    <dxf>
      <font>
        <name val="Arial"/>
        <charset val="1"/>
        <family val="0"/>
        <b val="1"/>
        <color rgb="FF1F3864"/>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ED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6"/>
    <col collapsed="false" customWidth="true" hidden="false" outlineLevel="0" max="3" min="3" style="0" width="20"/>
    <col collapsed="false" customWidth="true" hidden="false" outlineLevel="0" max="4" min="4" style="0" width="32"/>
    <col collapsed="false" customWidth="true" hidden="false" outlineLevel="0" max="5" min="5" style="0" width="11"/>
    <col collapsed="false" customWidth="true" hidden="false" outlineLevel="0" max="6" min="6" style="0" width="90"/>
    <col collapsed="false" customWidth="true" hidden="false" outlineLevel="0" max="7" min="7" style="0" width="30"/>
    <col collapsed="false" customWidth="true" hidden="false" outlineLevel="0" max="8" min="8" style="0" width="10"/>
    <col collapsed="false" customWidth="true" hidden="false" outlineLevel="0" max="9" min="9" style="0" width="44"/>
  </cols>
  <sheetData>
    <row r="1" customFormat="false" ht="27.75" hidden="false" customHeight="true" outlineLevel="0" collapsed="false">
      <c r="A1" s="1" t="s">
        <v>0</v>
      </c>
      <c r="B1" s="1" t="s">
        <v>1</v>
      </c>
      <c r="C1" s="1" t="s">
        <v>2</v>
      </c>
      <c r="D1" s="1" t="s">
        <v>3</v>
      </c>
      <c r="E1" s="1" t="s">
        <v>4</v>
      </c>
      <c r="F1" s="1" t="s">
        <v>5</v>
      </c>
      <c r="G1" s="1" t="s">
        <v>6</v>
      </c>
      <c r="H1" s="1" t="s">
        <v>7</v>
      </c>
      <c r="I1" s="1" t="s">
        <v>8</v>
      </c>
    </row>
    <row r="2" customFormat="false" ht="85.05" hidden="false" customHeight="false" outlineLevel="0" collapsed="false">
      <c r="A2" s="2" t="s">
        <v>9</v>
      </c>
      <c r="B2" s="3" t="s">
        <v>10</v>
      </c>
      <c r="C2" s="2" t="s">
        <v>11</v>
      </c>
      <c r="D2" s="4" t="s">
        <v>12</v>
      </c>
      <c r="E2" s="3" t="s">
        <v>11</v>
      </c>
      <c r="F2" s="4" t="s">
        <v>13</v>
      </c>
      <c r="G2" s="4" t="s">
        <v>14</v>
      </c>
      <c r="H2" s="3" t="s">
        <v>15</v>
      </c>
      <c r="I2" s="4" t="s">
        <v>16</v>
      </c>
    </row>
    <row r="3" customFormat="false" ht="53.7" hidden="false" customHeight="false" outlineLevel="0" collapsed="false">
      <c r="A3" s="2" t="s">
        <v>9</v>
      </c>
      <c r="B3" s="3" t="s">
        <v>17</v>
      </c>
      <c r="C3" s="2" t="s">
        <v>18</v>
      </c>
      <c r="D3" s="4" t="s">
        <v>19</v>
      </c>
      <c r="E3" s="3" t="s">
        <v>20</v>
      </c>
      <c r="F3" s="4" t="s">
        <v>21</v>
      </c>
      <c r="G3" s="4" t="s">
        <v>22</v>
      </c>
      <c r="H3" s="3" t="s">
        <v>15</v>
      </c>
      <c r="I3" s="4"/>
    </row>
    <row r="4" customFormat="false" ht="22.35" hidden="false" customHeight="false" outlineLevel="0" collapsed="false">
      <c r="A4" s="2" t="s">
        <v>9</v>
      </c>
      <c r="B4" s="3" t="s">
        <v>23</v>
      </c>
      <c r="C4" s="2" t="s">
        <v>24</v>
      </c>
      <c r="D4" s="4" t="s">
        <v>25</v>
      </c>
      <c r="E4" s="3" t="s">
        <v>20</v>
      </c>
      <c r="F4" s="4" t="s">
        <v>26</v>
      </c>
      <c r="G4" s="4" t="s">
        <v>27</v>
      </c>
      <c r="H4" s="3" t="s">
        <v>15</v>
      </c>
      <c r="I4" s="4" t="s">
        <v>28</v>
      </c>
    </row>
    <row r="5" customFormat="false" ht="15" hidden="false" customHeight="false" outlineLevel="0" collapsed="false">
      <c r="A5" s="2" t="s">
        <v>9</v>
      </c>
      <c r="B5" s="3" t="s">
        <v>29</v>
      </c>
      <c r="C5" s="2" t="s">
        <v>30</v>
      </c>
      <c r="D5" s="4" t="s">
        <v>31</v>
      </c>
      <c r="E5" s="3" t="s">
        <v>32</v>
      </c>
      <c r="F5" s="4" t="s">
        <v>33</v>
      </c>
      <c r="G5" s="4" t="s">
        <v>34</v>
      </c>
      <c r="H5" s="3" t="s">
        <v>15</v>
      </c>
      <c r="I5" s="4"/>
    </row>
    <row r="6" customFormat="false" ht="32.8" hidden="false" customHeight="false" outlineLevel="0" collapsed="false">
      <c r="A6" s="2" t="s">
        <v>9</v>
      </c>
      <c r="B6" s="3" t="s">
        <v>35</v>
      </c>
      <c r="C6" s="2" t="s">
        <v>36</v>
      </c>
      <c r="D6" s="4" t="s">
        <v>37</v>
      </c>
      <c r="E6" s="3" t="s">
        <v>38</v>
      </c>
      <c r="F6" s="4" t="s">
        <v>39</v>
      </c>
      <c r="G6" s="4" t="s">
        <v>40</v>
      </c>
      <c r="H6" s="3" t="s">
        <v>15</v>
      </c>
      <c r="I6" s="4"/>
    </row>
    <row r="7" customFormat="false" ht="64.15" hidden="false" customHeight="false" outlineLevel="0" collapsed="false">
      <c r="A7" s="2" t="s">
        <v>9</v>
      </c>
      <c r="B7" s="3" t="s">
        <v>41</v>
      </c>
      <c r="C7" s="2" t="s">
        <v>42</v>
      </c>
      <c r="D7" s="4" t="s">
        <v>43</v>
      </c>
      <c r="E7" s="3" t="s">
        <v>38</v>
      </c>
      <c r="F7" s="4" t="s">
        <v>44</v>
      </c>
      <c r="G7" s="4" t="s">
        <v>45</v>
      </c>
      <c r="H7" s="3" t="s">
        <v>15</v>
      </c>
      <c r="I7" s="4" t="s">
        <v>46</v>
      </c>
    </row>
    <row r="8" customFormat="false" ht="53.7" hidden="false" customHeight="false" outlineLevel="0" collapsed="false">
      <c r="A8" s="2" t="s">
        <v>9</v>
      </c>
      <c r="B8" s="3" t="s">
        <v>47</v>
      </c>
      <c r="C8" s="2" t="s">
        <v>48</v>
      </c>
      <c r="D8" s="4" t="s">
        <v>49</v>
      </c>
      <c r="E8" s="3" t="s">
        <v>38</v>
      </c>
      <c r="F8" s="4" t="s">
        <v>50</v>
      </c>
      <c r="G8" s="4" t="s">
        <v>51</v>
      </c>
      <c r="H8" s="3" t="s">
        <v>15</v>
      </c>
      <c r="I8" s="4"/>
    </row>
    <row r="9" customFormat="false" ht="74.6" hidden="false" customHeight="false" outlineLevel="0" collapsed="false">
      <c r="A9" s="2" t="s">
        <v>9</v>
      </c>
      <c r="B9" s="3" t="s">
        <v>52</v>
      </c>
      <c r="C9" s="2" t="s">
        <v>53</v>
      </c>
      <c r="D9" s="4" t="s">
        <v>54</v>
      </c>
      <c r="E9" s="3" t="s">
        <v>53</v>
      </c>
      <c r="F9" s="4" t="s">
        <v>55</v>
      </c>
      <c r="G9" s="4" t="s">
        <v>56</v>
      </c>
      <c r="H9" s="3" t="s">
        <v>15</v>
      </c>
      <c r="I9" s="4" t="s">
        <v>57</v>
      </c>
    </row>
    <row r="10" customFormat="false" ht="43.25" hidden="false" customHeight="false" outlineLevel="0" collapsed="false">
      <c r="A10" s="2" t="s">
        <v>9</v>
      </c>
      <c r="B10" s="3" t="s">
        <v>58</v>
      </c>
      <c r="C10" s="2" t="s">
        <v>59</v>
      </c>
      <c r="D10" s="4" t="s">
        <v>60</v>
      </c>
      <c r="E10" s="3" t="s">
        <v>38</v>
      </c>
      <c r="F10" s="4" t="s">
        <v>61</v>
      </c>
      <c r="G10" s="4" t="s">
        <v>62</v>
      </c>
      <c r="H10" s="3" t="s">
        <v>15</v>
      </c>
      <c r="I10" s="4" t="s">
        <v>63</v>
      </c>
    </row>
    <row r="11" customFormat="false" ht="64.15" hidden="false" customHeight="false" outlineLevel="0" collapsed="false">
      <c r="A11" s="2" t="s">
        <v>9</v>
      </c>
      <c r="B11" s="3" t="s">
        <v>64</v>
      </c>
      <c r="C11" s="2" t="s">
        <v>65</v>
      </c>
      <c r="D11" s="4" t="s">
        <v>66</v>
      </c>
      <c r="E11" s="3" t="s">
        <v>67</v>
      </c>
      <c r="F11" s="4" t="s">
        <v>68</v>
      </c>
      <c r="G11" s="4" t="s">
        <v>69</v>
      </c>
      <c r="H11" s="3" t="s">
        <v>15</v>
      </c>
      <c r="I11" s="4" t="s">
        <v>46</v>
      </c>
    </row>
    <row r="12" customFormat="false" ht="32.8" hidden="false" customHeight="false" outlineLevel="0" collapsed="false">
      <c r="A12" s="2" t="s">
        <v>9</v>
      </c>
      <c r="B12" s="3" t="s">
        <v>70</v>
      </c>
      <c r="C12" s="2" t="s">
        <v>71</v>
      </c>
      <c r="D12" s="4" t="s">
        <v>72</v>
      </c>
      <c r="E12" s="3" t="s">
        <v>73</v>
      </c>
      <c r="F12" s="4" t="s">
        <v>74</v>
      </c>
      <c r="G12" s="4" t="s">
        <v>75</v>
      </c>
      <c r="H12" s="3" t="s">
        <v>76</v>
      </c>
      <c r="I12" s="4" t="s">
        <v>77</v>
      </c>
    </row>
    <row r="13" customFormat="false" ht="64.15" hidden="false" customHeight="false" outlineLevel="0" collapsed="false">
      <c r="A13" s="2" t="s">
        <v>9</v>
      </c>
      <c r="B13" s="3" t="s">
        <v>70</v>
      </c>
      <c r="C13" s="2" t="s">
        <v>78</v>
      </c>
      <c r="D13" s="4" t="s">
        <v>79</v>
      </c>
      <c r="E13" s="3" t="s">
        <v>73</v>
      </c>
      <c r="F13" s="4" t="s">
        <v>80</v>
      </c>
      <c r="G13" s="4" t="s">
        <v>81</v>
      </c>
      <c r="H13" s="3" t="s">
        <v>76</v>
      </c>
      <c r="I13" s="4" t="s">
        <v>77</v>
      </c>
    </row>
    <row r="14" customFormat="false" ht="53.7" hidden="false" customHeight="false" outlineLevel="0" collapsed="false">
      <c r="A14" s="2" t="s">
        <v>9</v>
      </c>
      <c r="B14" s="3" t="s">
        <v>70</v>
      </c>
      <c r="C14" s="2" t="s">
        <v>82</v>
      </c>
      <c r="D14" s="4" t="s">
        <v>83</v>
      </c>
      <c r="E14" s="3" t="s">
        <v>73</v>
      </c>
      <c r="F14" s="4" t="s">
        <v>84</v>
      </c>
      <c r="G14" s="4" t="s">
        <v>85</v>
      </c>
      <c r="H14" s="3" t="s">
        <v>76</v>
      </c>
      <c r="I14" s="4" t="s">
        <v>77</v>
      </c>
    </row>
    <row r="15" customFormat="false" ht="74.6" hidden="false" customHeight="false" outlineLevel="0" collapsed="false">
      <c r="A15" s="2" t="s">
        <v>9</v>
      </c>
      <c r="B15" s="3" t="s">
        <v>86</v>
      </c>
      <c r="C15" s="2" t="s">
        <v>87</v>
      </c>
      <c r="D15" s="4" t="s">
        <v>88</v>
      </c>
      <c r="E15" s="3" t="s">
        <v>87</v>
      </c>
      <c r="F15" s="4" t="s">
        <v>89</v>
      </c>
      <c r="G15" s="4" t="s">
        <v>90</v>
      </c>
      <c r="H15" s="3" t="s">
        <v>91</v>
      </c>
      <c r="I15" s="4" t="s">
        <v>92</v>
      </c>
    </row>
    <row r="16" customFormat="false" ht="74.6" hidden="false" customHeight="false" outlineLevel="0" collapsed="false">
      <c r="A16" s="2" t="s">
        <v>9</v>
      </c>
      <c r="B16" s="3" t="s">
        <v>93</v>
      </c>
      <c r="C16" s="2" t="s">
        <v>94</v>
      </c>
      <c r="D16" s="4" t="s">
        <v>95</v>
      </c>
      <c r="E16" s="3" t="s">
        <v>96</v>
      </c>
      <c r="F16" s="4" t="s">
        <v>97</v>
      </c>
      <c r="G16" s="4" t="s">
        <v>98</v>
      </c>
      <c r="H16" s="3" t="s">
        <v>76</v>
      </c>
      <c r="I16" s="4" t="s">
        <v>99</v>
      </c>
    </row>
    <row r="17" customFormat="false" ht="74.6" hidden="false" customHeight="false" outlineLevel="0" collapsed="false">
      <c r="A17" s="2" t="s">
        <v>100</v>
      </c>
      <c r="B17" s="3" t="s">
        <v>10</v>
      </c>
      <c r="C17" s="2" t="s">
        <v>11</v>
      </c>
      <c r="D17" s="4" t="s">
        <v>101</v>
      </c>
      <c r="E17" s="3" t="s">
        <v>11</v>
      </c>
      <c r="F17" s="4" t="s">
        <v>102</v>
      </c>
      <c r="G17" s="4" t="s">
        <v>103</v>
      </c>
      <c r="H17" s="3" t="s">
        <v>15</v>
      </c>
      <c r="I17" s="4" t="s">
        <v>16</v>
      </c>
    </row>
    <row r="18" customFormat="false" ht="22.35" hidden="false" customHeight="false" outlineLevel="0" collapsed="false">
      <c r="A18" s="2" t="s">
        <v>100</v>
      </c>
      <c r="B18" s="3" t="s">
        <v>104</v>
      </c>
      <c r="C18" s="2" t="s">
        <v>18</v>
      </c>
      <c r="D18" s="4" t="s">
        <v>105</v>
      </c>
      <c r="E18" s="3" t="s">
        <v>20</v>
      </c>
      <c r="F18" s="4" t="s">
        <v>106</v>
      </c>
      <c r="G18" s="4" t="s">
        <v>107</v>
      </c>
      <c r="H18" s="3" t="s">
        <v>15</v>
      </c>
      <c r="I18" s="4"/>
    </row>
    <row r="19" customFormat="false" ht="22.35" hidden="false" customHeight="false" outlineLevel="0" collapsed="false">
      <c r="A19" s="2" t="s">
        <v>100</v>
      </c>
      <c r="B19" s="3" t="s">
        <v>108</v>
      </c>
      <c r="C19" s="2" t="s">
        <v>24</v>
      </c>
      <c r="D19" s="4" t="s">
        <v>25</v>
      </c>
      <c r="E19" s="3" t="s">
        <v>20</v>
      </c>
      <c r="F19" s="4" t="s">
        <v>109</v>
      </c>
      <c r="G19" s="4" t="s">
        <v>27</v>
      </c>
      <c r="H19" s="3" t="s">
        <v>15</v>
      </c>
      <c r="I19" s="4" t="s">
        <v>28</v>
      </c>
    </row>
    <row r="20" customFormat="false" ht="43.25" hidden="false" customHeight="false" outlineLevel="0" collapsed="false">
      <c r="A20" s="2" t="s">
        <v>100</v>
      </c>
      <c r="B20" s="3" t="s">
        <v>110</v>
      </c>
      <c r="C20" s="2" t="s">
        <v>111</v>
      </c>
      <c r="D20" s="4" t="s">
        <v>112</v>
      </c>
      <c r="E20" s="3" t="s">
        <v>38</v>
      </c>
      <c r="F20" s="4" t="s">
        <v>113</v>
      </c>
      <c r="G20" s="4" t="s">
        <v>114</v>
      </c>
      <c r="H20" s="3" t="s">
        <v>15</v>
      </c>
      <c r="I20" s="4" t="s">
        <v>115</v>
      </c>
    </row>
    <row r="21" customFormat="false" ht="43.25" hidden="false" customHeight="false" outlineLevel="0" collapsed="false">
      <c r="A21" s="2" t="s">
        <v>100</v>
      </c>
      <c r="B21" s="3" t="s">
        <v>116</v>
      </c>
      <c r="C21" s="2" t="s">
        <v>117</v>
      </c>
      <c r="D21" s="4" t="s">
        <v>118</v>
      </c>
      <c r="E21" s="3" t="s">
        <v>53</v>
      </c>
      <c r="F21" s="4" t="s">
        <v>119</v>
      </c>
      <c r="G21" s="4" t="s">
        <v>120</v>
      </c>
      <c r="H21" s="3" t="s">
        <v>15</v>
      </c>
      <c r="I21" s="4"/>
    </row>
    <row r="22" customFormat="false" ht="32.8" hidden="false" customHeight="false" outlineLevel="0" collapsed="false">
      <c r="A22" s="2" t="s">
        <v>100</v>
      </c>
      <c r="B22" s="3" t="s">
        <v>121</v>
      </c>
      <c r="C22" s="2" t="s">
        <v>122</v>
      </c>
      <c r="D22" s="4" t="s">
        <v>123</v>
      </c>
      <c r="E22" s="3" t="s">
        <v>53</v>
      </c>
      <c r="F22" s="4" t="s">
        <v>124</v>
      </c>
      <c r="G22" s="4" t="s">
        <v>125</v>
      </c>
      <c r="H22" s="3" t="s">
        <v>126</v>
      </c>
      <c r="I22" s="4" t="s">
        <v>127</v>
      </c>
    </row>
    <row r="23" customFormat="false" ht="43.25" hidden="false" customHeight="false" outlineLevel="0" collapsed="false">
      <c r="A23" s="2" t="s">
        <v>100</v>
      </c>
      <c r="B23" s="3" t="s">
        <v>128</v>
      </c>
      <c r="C23" s="2" t="s">
        <v>129</v>
      </c>
      <c r="D23" s="4" t="s">
        <v>130</v>
      </c>
      <c r="E23" s="3" t="s">
        <v>38</v>
      </c>
      <c r="F23" s="4" t="s">
        <v>131</v>
      </c>
      <c r="G23" s="4" t="s">
        <v>132</v>
      </c>
      <c r="H23" s="3" t="s">
        <v>15</v>
      </c>
      <c r="I23" s="4" t="s">
        <v>133</v>
      </c>
    </row>
    <row r="24" customFormat="false" ht="74.6" hidden="false" customHeight="false" outlineLevel="0" collapsed="false">
      <c r="A24" s="2" t="s">
        <v>100</v>
      </c>
      <c r="B24" s="3" t="s">
        <v>134</v>
      </c>
      <c r="C24" s="2" t="s">
        <v>135</v>
      </c>
      <c r="D24" s="4" t="s">
        <v>136</v>
      </c>
      <c r="E24" s="3" t="s">
        <v>38</v>
      </c>
      <c r="F24" s="4" t="s">
        <v>137</v>
      </c>
      <c r="G24" s="4" t="s">
        <v>138</v>
      </c>
      <c r="H24" s="3" t="s">
        <v>15</v>
      </c>
      <c r="I24" s="4"/>
    </row>
    <row r="25" customFormat="false" ht="74.6" hidden="false" customHeight="false" outlineLevel="0" collapsed="false">
      <c r="A25" s="2" t="s">
        <v>100</v>
      </c>
      <c r="B25" s="3" t="s">
        <v>139</v>
      </c>
      <c r="C25" s="2" t="s">
        <v>140</v>
      </c>
      <c r="D25" s="4" t="s">
        <v>141</v>
      </c>
      <c r="E25" s="3" t="s">
        <v>38</v>
      </c>
      <c r="F25" s="4" t="s">
        <v>142</v>
      </c>
      <c r="G25" s="4" t="s">
        <v>143</v>
      </c>
      <c r="H25" s="3" t="s">
        <v>126</v>
      </c>
      <c r="I25" s="4" t="s">
        <v>144</v>
      </c>
    </row>
    <row r="26" customFormat="false" ht="64.15" hidden="false" customHeight="false" outlineLevel="0" collapsed="false">
      <c r="A26" s="2" t="s">
        <v>100</v>
      </c>
      <c r="B26" s="3" t="s">
        <v>145</v>
      </c>
      <c r="C26" s="2" t="s">
        <v>146</v>
      </c>
      <c r="D26" s="4" t="s">
        <v>147</v>
      </c>
      <c r="E26" s="3" t="s">
        <v>67</v>
      </c>
      <c r="F26" s="4" t="s">
        <v>148</v>
      </c>
      <c r="G26" s="4" t="s">
        <v>149</v>
      </c>
      <c r="H26" s="3" t="s">
        <v>15</v>
      </c>
      <c r="I26" s="4" t="s">
        <v>46</v>
      </c>
    </row>
    <row r="27" customFormat="false" ht="43.25" hidden="false" customHeight="false" outlineLevel="0" collapsed="false">
      <c r="A27" s="2" t="s">
        <v>100</v>
      </c>
      <c r="B27" s="3" t="s">
        <v>150</v>
      </c>
      <c r="C27" s="2" t="s">
        <v>151</v>
      </c>
      <c r="D27" s="4" t="s">
        <v>152</v>
      </c>
      <c r="E27" s="3" t="s">
        <v>153</v>
      </c>
      <c r="F27" s="4" t="s">
        <v>154</v>
      </c>
      <c r="G27" s="4" t="s">
        <v>155</v>
      </c>
      <c r="H27" s="3" t="s">
        <v>126</v>
      </c>
      <c r="I27" s="4" t="s">
        <v>156</v>
      </c>
    </row>
    <row r="28" customFormat="false" ht="43.25" hidden="false" customHeight="false" outlineLevel="0" collapsed="false">
      <c r="A28" s="2" t="s">
        <v>100</v>
      </c>
      <c r="B28" s="3" t="s">
        <v>157</v>
      </c>
      <c r="C28" s="2" t="s">
        <v>158</v>
      </c>
      <c r="D28" s="4" t="s">
        <v>159</v>
      </c>
      <c r="E28" s="3" t="s">
        <v>32</v>
      </c>
      <c r="F28" s="4" t="s">
        <v>160</v>
      </c>
      <c r="G28" s="4" t="s">
        <v>161</v>
      </c>
      <c r="H28" s="3" t="s">
        <v>126</v>
      </c>
      <c r="I28" s="4" t="s">
        <v>156</v>
      </c>
    </row>
    <row r="29" customFormat="false" ht="74.6" hidden="false" customHeight="false" outlineLevel="0" collapsed="false">
      <c r="A29" s="2" t="s">
        <v>100</v>
      </c>
      <c r="B29" s="3" t="s">
        <v>162</v>
      </c>
      <c r="C29" s="2" t="s">
        <v>87</v>
      </c>
      <c r="D29" s="4" t="s">
        <v>163</v>
      </c>
      <c r="E29" s="3" t="s">
        <v>87</v>
      </c>
      <c r="F29" s="4" t="s">
        <v>164</v>
      </c>
      <c r="G29" s="4" t="s">
        <v>165</v>
      </c>
      <c r="H29" s="3" t="s">
        <v>126</v>
      </c>
      <c r="I29" s="4" t="s">
        <v>156</v>
      </c>
    </row>
    <row r="30" customFormat="false" ht="32.8" hidden="false" customHeight="false" outlineLevel="0" collapsed="false">
      <c r="A30" s="2" t="s">
        <v>100</v>
      </c>
      <c r="B30" s="3" t="s">
        <v>166</v>
      </c>
      <c r="C30" s="2" t="s">
        <v>167</v>
      </c>
      <c r="D30" s="4" t="s">
        <v>168</v>
      </c>
      <c r="E30" s="3" t="s">
        <v>153</v>
      </c>
      <c r="F30" s="4" t="s">
        <v>169</v>
      </c>
      <c r="G30" s="4" t="s">
        <v>170</v>
      </c>
      <c r="H30" s="3" t="s">
        <v>15</v>
      </c>
      <c r="I30" s="4"/>
    </row>
    <row r="31" customFormat="false" ht="64.15" hidden="false" customHeight="false" outlineLevel="0" collapsed="false">
      <c r="A31" s="2" t="s">
        <v>100</v>
      </c>
      <c r="B31" s="3" t="s">
        <v>93</v>
      </c>
      <c r="C31" s="2" t="s">
        <v>94</v>
      </c>
      <c r="D31" s="4" t="s">
        <v>171</v>
      </c>
      <c r="E31" s="3" t="s">
        <v>96</v>
      </c>
      <c r="F31" s="4" t="s">
        <v>172</v>
      </c>
      <c r="G31" s="4" t="s">
        <v>98</v>
      </c>
      <c r="H31" s="3" t="s">
        <v>76</v>
      </c>
      <c r="I31" s="4" t="s">
        <v>99</v>
      </c>
    </row>
    <row r="32" customFormat="false" ht="53.7" hidden="false" customHeight="false" outlineLevel="0" collapsed="false">
      <c r="A32" s="2" t="s">
        <v>173</v>
      </c>
      <c r="B32" s="3" t="s">
        <v>10</v>
      </c>
      <c r="C32" s="2" t="s">
        <v>174</v>
      </c>
      <c r="D32" s="4" t="s">
        <v>175</v>
      </c>
      <c r="E32" s="3" t="s">
        <v>176</v>
      </c>
      <c r="F32" s="4" t="s">
        <v>177</v>
      </c>
      <c r="G32" s="4" t="s">
        <v>178</v>
      </c>
      <c r="H32" s="3" t="s">
        <v>126</v>
      </c>
      <c r="I32" s="4" t="s">
        <v>179</v>
      </c>
    </row>
    <row r="33" customFormat="false" ht="22.35" hidden="false" customHeight="false" outlineLevel="0" collapsed="false">
      <c r="A33" s="2" t="s">
        <v>173</v>
      </c>
      <c r="B33" s="3" t="s">
        <v>180</v>
      </c>
      <c r="C33" s="2" t="s">
        <v>24</v>
      </c>
      <c r="D33" s="4" t="s">
        <v>25</v>
      </c>
      <c r="E33" s="3" t="s">
        <v>20</v>
      </c>
      <c r="F33" s="4" t="s">
        <v>181</v>
      </c>
      <c r="G33" s="4" t="s">
        <v>27</v>
      </c>
      <c r="H33" s="3" t="s">
        <v>126</v>
      </c>
      <c r="I33" s="4" t="s">
        <v>182</v>
      </c>
    </row>
    <row r="34" customFormat="false" ht="43.25" hidden="false" customHeight="false" outlineLevel="0" collapsed="false">
      <c r="A34" s="2" t="s">
        <v>173</v>
      </c>
      <c r="B34" s="3" t="s">
        <v>183</v>
      </c>
      <c r="C34" s="2" t="s">
        <v>184</v>
      </c>
      <c r="D34" s="4" t="s">
        <v>185</v>
      </c>
      <c r="E34" s="3" t="s">
        <v>38</v>
      </c>
      <c r="F34" s="4" t="s">
        <v>186</v>
      </c>
      <c r="G34" s="4" t="s">
        <v>187</v>
      </c>
      <c r="H34" s="3" t="s">
        <v>126</v>
      </c>
      <c r="I34" s="4" t="s">
        <v>188</v>
      </c>
    </row>
    <row r="35" customFormat="false" ht="43.25" hidden="false" customHeight="false" outlineLevel="0" collapsed="false">
      <c r="A35" s="2" t="s">
        <v>173</v>
      </c>
      <c r="B35" s="3" t="s">
        <v>189</v>
      </c>
      <c r="C35" s="2" t="s">
        <v>146</v>
      </c>
      <c r="D35" s="4" t="s">
        <v>190</v>
      </c>
      <c r="E35" s="3" t="s">
        <v>67</v>
      </c>
      <c r="F35" s="4" t="s">
        <v>191</v>
      </c>
      <c r="G35" s="4" t="s">
        <v>192</v>
      </c>
      <c r="H35" s="3" t="s">
        <v>15</v>
      </c>
      <c r="I35" s="4" t="s">
        <v>46</v>
      </c>
    </row>
    <row r="36" customFormat="false" ht="43.25" hidden="false" customHeight="false" outlineLevel="0" collapsed="false">
      <c r="A36" s="2" t="s">
        <v>173</v>
      </c>
      <c r="B36" s="3" t="s">
        <v>193</v>
      </c>
      <c r="C36" s="2" t="s">
        <v>194</v>
      </c>
      <c r="D36" s="4" t="s">
        <v>195</v>
      </c>
      <c r="E36" s="3" t="s">
        <v>87</v>
      </c>
      <c r="F36" s="4" t="s">
        <v>196</v>
      </c>
      <c r="G36" s="4" t="s">
        <v>197</v>
      </c>
      <c r="H36" s="3" t="s">
        <v>126</v>
      </c>
      <c r="I36" s="4" t="s">
        <v>198</v>
      </c>
    </row>
    <row r="37" customFormat="false" ht="32.8" hidden="false" customHeight="false" outlineLevel="0" collapsed="false">
      <c r="A37" s="2" t="s">
        <v>173</v>
      </c>
      <c r="B37" s="3" t="s">
        <v>199</v>
      </c>
      <c r="C37" s="2" t="s">
        <v>151</v>
      </c>
      <c r="D37" s="4" t="s">
        <v>200</v>
      </c>
      <c r="E37" s="3" t="s">
        <v>153</v>
      </c>
      <c r="F37" s="4" t="s">
        <v>201</v>
      </c>
      <c r="G37" s="4" t="s">
        <v>202</v>
      </c>
      <c r="H37" s="3" t="s">
        <v>126</v>
      </c>
      <c r="I37" s="4" t="s">
        <v>156</v>
      </c>
    </row>
    <row r="38" customFormat="false" ht="15" hidden="false" customHeight="false" outlineLevel="0" collapsed="false">
      <c r="A38" s="2" t="s">
        <v>173</v>
      </c>
      <c r="B38" s="3" t="s">
        <v>203</v>
      </c>
      <c r="C38" s="2" t="s">
        <v>167</v>
      </c>
      <c r="D38" s="4" t="s">
        <v>168</v>
      </c>
      <c r="E38" s="3" t="s">
        <v>153</v>
      </c>
      <c r="F38" s="4" t="s">
        <v>204</v>
      </c>
      <c r="G38" s="4" t="s">
        <v>170</v>
      </c>
      <c r="H38" s="3" t="s">
        <v>15</v>
      </c>
      <c r="I38" s="4"/>
    </row>
    <row r="39" customFormat="false" ht="85.05" hidden="false" customHeight="false" outlineLevel="0" collapsed="false">
      <c r="A39" s="2" t="s">
        <v>173</v>
      </c>
      <c r="B39" s="3" t="s">
        <v>93</v>
      </c>
      <c r="C39" s="2" t="s">
        <v>94</v>
      </c>
      <c r="D39" s="4" t="s">
        <v>205</v>
      </c>
      <c r="E39" s="3" t="s">
        <v>96</v>
      </c>
      <c r="F39" s="4" t="s">
        <v>206</v>
      </c>
      <c r="G39" s="4" t="s">
        <v>98</v>
      </c>
      <c r="H39" s="3" t="s">
        <v>76</v>
      </c>
      <c r="I39" s="4" t="s">
        <v>207</v>
      </c>
    </row>
    <row r="40" customFormat="false" ht="85.05" hidden="false" customHeight="false" outlineLevel="0" collapsed="false">
      <c r="A40" s="2" t="s">
        <v>208</v>
      </c>
      <c r="B40" s="3" t="s">
        <v>10</v>
      </c>
      <c r="C40" s="2" t="s">
        <v>11</v>
      </c>
      <c r="D40" s="4" t="s">
        <v>209</v>
      </c>
      <c r="E40" s="3" t="s">
        <v>11</v>
      </c>
      <c r="F40" s="4" t="s">
        <v>13</v>
      </c>
      <c r="G40" s="4" t="s">
        <v>210</v>
      </c>
      <c r="H40" s="3" t="s">
        <v>15</v>
      </c>
      <c r="I40" s="4" t="s">
        <v>16</v>
      </c>
    </row>
    <row r="41" customFormat="false" ht="43.25" hidden="false" customHeight="false" outlineLevel="0" collapsed="false">
      <c r="A41" s="2" t="s">
        <v>208</v>
      </c>
      <c r="B41" s="3" t="s">
        <v>211</v>
      </c>
      <c r="C41" s="2" t="s">
        <v>18</v>
      </c>
      <c r="D41" s="4" t="s">
        <v>212</v>
      </c>
      <c r="E41" s="3" t="s">
        <v>20</v>
      </c>
      <c r="F41" s="4" t="s">
        <v>213</v>
      </c>
      <c r="G41" s="4" t="s">
        <v>214</v>
      </c>
      <c r="H41" s="3" t="s">
        <v>15</v>
      </c>
      <c r="I41" s="4"/>
    </row>
    <row r="42" customFormat="false" ht="22.35" hidden="false" customHeight="false" outlineLevel="0" collapsed="false">
      <c r="A42" s="2" t="s">
        <v>208</v>
      </c>
      <c r="B42" s="3" t="s">
        <v>215</v>
      </c>
      <c r="C42" s="2" t="s">
        <v>24</v>
      </c>
      <c r="D42" s="4" t="s">
        <v>25</v>
      </c>
      <c r="E42" s="3" t="s">
        <v>20</v>
      </c>
      <c r="F42" s="4" t="s">
        <v>26</v>
      </c>
      <c r="G42" s="4" t="s">
        <v>27</v>
      </c>
      <c r="H42" s="3" t="s">
        <v>15</v>
      </c>
      <c r="I42" s="4" t="s">
        <v>28</v>
      </c>
    </row>
    <row r="43" customFormat="false" ht="15" hidden="false" customHeight="false" outlineLevel="0" collapsed="false">
      <c r="A43" s="2" t="s">
        <v>208</v>
      </c>
      <c r="B43" s="3" t="s">
        <v>216</v>
      </c>
      <c r="C43" s="2" t="s">
        <v>30</v>
      </c>
      <c r="D43" s="4" t="s">
        <v>217</v>
      </c>
      <c r="E43" s="3" t="s">
        <v>32</v>
      </c>
      <c r="F43" s="4" t="s">
        <v>33</v>
      </c>
      <c r="G43" s="4" t="s">
        <v>34</v>
      </c>
      <c r="H43" s="3" t="s">
        <v>15</v>
      </c>
      <c r="I43" s="4"/>
    </row>
    <row r="44" customFormat="false" ht="43.25" hidden="false" customHeight="false" outlineLevel="0" collapsed="false">
      <c r="A44" s="2" t="s">
        <v>208</v>
      </c>
      <c r="B44" s="3" t="s">
        <v>218</v>
      </c>
      <c r="C44" s="2" t="s">
        <v>219</v>
      </c>
      <c r="D44" s="4" t="s">
        <v>220</v>
      </c>
      <c r="E44" s="3" t="s">
        <v>67</v>
      </c>
      <c r="F44" s="4" t="s">
        <v>221</v>
      </c>
      <c r="G44" s="4" t="s">
        <v>222</v>
      </c>
      <c r="H44" s="3" t="s">
        <v>15</v>
      </c>
      <c r="I44" s="4"/>
    </row>
    <row r="45" customFormat="false" ht="32.8" hidden="false" customHeight="false" outlineLevel="0" collapsed="false">
      <c r="A45" s="2" t="s">
        <v>208</v>
      </c>
      <c r="B45" s="3" t="s">
        <v>223</v>
      </c>
      <c r="C45" s="2" t="s">
        <v>224</v>
      </c>
      <c r="D45" s="4" t="s">
        <v>225</v>
      </c>
      <c r="E45" s="3" t="s">
        <v>67</v>
      </c>
      <c r="F45" s="4" t="s">
        <v>226</v>
      </c>
      <c r="G45" s="4" t="s">
        <v>227</v>
      </c>
      <c r="H45" s="3" t="s">
        <v>126</v>
      </c>
      <c r="I45" s="4" t="s">
        <v>228</v>
      </c>
    </row>
    <row r="46" customFormat="false" ht="32.8" hidden="false" customHeight="false" outlineLevel="0" collapsed="false">
      <c r="A46" s="2" t="s">
        <v>208</v>
      </c>
      <c r="B46" s="3" t="s">
        <v>229</v>
      </c>
      <c r="C46" s="2" t="s">
        <v>230</v>
      </c>
      <c r="D46" s="4" t="s">
        <v>231</v>
      </c>
      <c r="E46" s="3" t="s">
        <v>38</v>
      </c>
      <c r="F46" s="4" t="s">
        <v>232</v>
      </c>
      <c r="G46" s="4" t="s">
        <v>40</v>
      </c>
      <c r="H46" s="3" t="s">
        <v>15</v>
      </c>
      <c r="I46" s="4"/>
    </row>
    <row r="47" customFormat="false" ht="32.8" hidden="false" customHeight="false" outlineLevel="0" collapsed="false">
      <c r="A47" s="2" t="s">
        <v>208</v>
      </c>
      <c r="B47" s="3" t="s">
        <v>233</v>
      </c>
      <c r="C47" s="2" t="s">
        <v>234</v>
      </c>
      <c r="D47" s="4" t="s">
        <v>235</v>
      </c>
      <c r="E47" s="3" t="s">
        <v>38</v>
      </c>
      <c r="F47" s="4" t="s">
        <v>236</v>
      </c>
      <c r="G47" s="4" t="s">
        <v>237</v>
      </c>
      <c r="H47" s="3" t="s">
        <v>15</v>
      </c>
      <c r="I47" s="4"/>
    </row>
    <row r="48" customFormat="false" ht="53.7" hidden="false" customHeight="false" outlineLevel="0" collapsed="false">
      <c r="A48" s="2" t="s">
        <v>208</v>
      </c>
      <c r="B48" s="3" t="s">
        <v>238</v>
      </c>
      <c r="C48" s="2" t="s">
        <v>239</v>
      </c>
      <c r="D48" s="4" t="s">
        <v>240</v>
      </c>
      <c r="E48" s="3" t="s">
        <v>38</v>
      </c>
      <c r="F48" s="4" t="s">
        <v>241</v>
      </c>
      <c r="G48" s="4" t="s">
        <v>242</v>
      </c>
      <c r="H48" s="3" t="s">
        <v>15</v>
      </c>
      <c r="I48" s="4" t="s">
        <v>46</v>
      </c>
    </row>
    <row r="49" customFormat="false" ht="53.7" hidden="false" customHeight="false" outlineLevel="0" collapsed="false">
      <c r="A49" s="2" t="s">
        <v>208</v>
      </c>
      <c r="B49" s="3" t="s">
        <v>243</v>
      </c>
      <c r="C49" s="2" t="s">
        <v>146</v>
      </c>
      <c r="D49" s="4" t="s">
        <v>244</v>
      </c>
      <c r="E49" s="3" t="s">
        <v>67</v>
      </c>
      <c r="F49" s="4" t="s">
        <v>245</v>
      </c>
      <c r="G49" s="4" t="s">
        <v>149</v>
      </c>
      <c r="H49" s="3" t="s">
        <v>15</v>
      </c>
      <c r="I49" s="4" t="s">
        <v>46</v>
      </c>
    </row>
    <row r="50" customFormat="false" ht="32.8" hidden="false" customHeight="false" outlineLevel="0" collapsed="false">
      <c r="A50" s="2" t="s">
        <v>208</v>
      </c>
      <c r="B50" s="3" t="s">
        <v>246</v>
      </c>
      <c r="C50" s="2" t="s">
        <v>247</v>
      </c>
      <c r="D50" s="4" t="s">
        <v>248</v>
      </c>
      <c r="E50" s="3" t="s">
        <v>67</v>
      </c>
      <c r="F50" s="4" t="s">
        <v>249</v>
      </c>
      <c r="G50" s="4" t="s">
        <v>250</v>
      </c>
      <c r="H50" s="3" t="s">
        <v>15</v>
      </c>
      <c r="I50" s="4" t="s">
        <v>251</v>
      </c>
    </row>
    <row r="51" customFormat="false" ht="53.7" hidden="false" customHeight="false" outlineLevel="0" collapsed="false">
      <c r="A51" s="2" t="s">
        <v>208</v>
      </c>
      <c r="B51" s="3" t="s">
        <v>252</v>
      </c>
      <c r="C51" s="2" t="s">
        <v>253</v>
      </c>
      <c r="D51" s="4" t="s">
        <v>254</v>
      </c>
      <c r="E51" s="3" t="s">
        <v>67</v>
      </c>
      <c r="F51" s="4" t="s">
        <v>255</v>
      </c>
      <c r="G51" s="4" t="s">
        <v>256</v>
      </c>
      <c r="H51" s="3" t="s">
        <v>126</v>
      </c>
      <c r="I51" s="4" t="s">
        <v>257</v>
      </c>
    </row>
    <row r="52" customFormat="false" ht="53.7" hidden="false" customHeight="false" outlineLevel="0" collapsed="false">
      <c r="A52" s="2" t="s">
        <v>208</v>
      </c>
      <c r="B52" s="3" t="s">
        <v>258</v>
      </c>
      <c r="C52" s="2" t="s">
        <v>259</v>
      </c>
      <c r="D52" s="4" t="s">
        <v>260</v>
      </c>
      <c r="E52" s="3" t="s">
        <v>38</v>
      </c>
      <c r="F52" s="4" t="s">
        <v>261</v>
      </c>
      <c r="G52" s="4" t="s">
        <v>262</v>
      </c>
      <c r="H52" s="3" t="s">
        <v>15</v>
      </c>
      <c r="I52" s="4" t="s">
        <v>63</v>
      </c>
    </row>
    <row r="53" customFormat="false" ht="53.7" hidden="false" customHeight="false" outlineLevel="0" collapsed="false">
      <c r="A53" s="2" t="s">
        <v>208</v>
      </c>
      <c r="B53" s="3" t="s">
        <v>263</v>
      </c>
      <c r="C53" s="2" t="s">
        <v>264</v>
      </c>
      <c r="D53" s="4" t="s">
        <v>265</v>
      </c>
      <c r="E53" s="3" t="s">
        <v>38</v>
      </c>
      <c r="F53" s="4" t="s">
        <v>266</v>
      </c>
      <c r="G53" s="4" t="s">
        <v>267</v>
      </c>
      <c r="H53" s="3" t="s">
        <v>15</v>
      </c>
      <c r="I53" s="4"/>
    </row>
    <row r="54" customFormat="false" ht="43.25" hidden="false" customHeight="false" outlineLevel="0" collapsed="false">
      <c r="A54" s="2" t="s">
        <v>208</v>
      </c>
      <c r="B54" s="3" t="s">
        <v>70</v>
      </c>
      <c r="C54" s="2" t="s">
        <v>268</v>
      </c>
      <c r="D54" s="4" t="s">
        <v>269</v>
      </c>
      <c r="E54" s="3" t="s">
        <v>73</v>
      </c>
      <c r="F54" s="4" t="s">
        <v>270</v>
      </c>
      <c r="G54" s="4" t="s">
        <v>271</v>
      </c>
      <c r="H54" s="3" t="s">
        <v>76</v>
      </c>
      <c r="I54" s="4" t="s">
        <v>77</v>
      </c>
    </row>
    <row r="55" customFormat="false" ht="53.7" hidden="false" customHeight="false" outlineLevel="0" collapsed="false">
      <c r="A55" s="2" t="s">
        <v>208</v>
      </c>
      <c r="B55" s="3" t="s">
        <v>86</v>
      </c>
      <c r="C55" s="2" t="s">
        <v>87</v>
      </c>
      <c r="D55" s="4" t="s">
        <v>272</v>
      </c>
      <c r="E55" s="3" t="s">
        <v>87</v>
      </c>
      <c r="F55" s="4" t="s">
        <v>273</v>
      </c>
      <c r="G55" s="4" t="s">
        <v>274</v>
      </c>
      <c r="H55" s="3" t="s">
        <v>91</v>
      </c>
      <c r="I55" s="4" t="s">
        <v>92</v>
      </c>
    </row>
    <row r="56" customFormat="false" ht="53.7" hidden="false" customHeight="false" outlineLevel="0" collapsed="false">
      <c r="A56" s="2" t="s">
        <v>208</v>
      </c>
      <c r="B56" s="3" t="s">
        <v>93</v>
      </c>
      <c r="C56" s="2" t="s">
        <v>94</v>
      </c>
      <c r="D56" s="4" t="s">
        <v>275</v>
      </c>
      <c r="E56" s="3" t="s">
        <v>96</v>
      </c>
      <c r="F56" s="4" t="s">
        <v>276</v>
      </c>
      <c r="G56" s="4" t="s">
        <v>98</v>
      </c>
      <c r="H56" s="3" t="s">
        <v>76</v>
      </c>
      <c r="I56" s="4" t="s">
        <v>99</v>
      </c>
    </row>
    <row r="57" customFormat="false" ht="64.15" hidden="false" customHeight="false" outlineLevel="0" collapsed="false">
      <c r="A57" s="2" t="s">
        <v>277</v>
      </c>
      <c r="B57" s="3" t="s">
        <v>10</v>
      </c>
      <c r="C57" s="2" t="s">
        <v>11</v>
      </c>
      <c r="D57" s="4" t="s">
        <v>278</v>
      </c>
      <c r="E57" s="3" t="s">
        <v>11</v>
      </c>
      <c r="F57" s="4" t="s">
        <v>279</v>
      </c>
      <c r="G57" s="4" t="s">
        <v>280</v>
      </c>
      <c r="H57" s="3" t="s">
        <v>15</v>
      </c>
      <c r="I57" s="4" t="s">
        <v>16</v>
      </c>
    </row>
    <row r="58" customFormat="false" ht="32.8" hidden="false" customHeight="false" outlineLevel="0" collapsed="false">
      <c r="A58" s="2" t="s">
        <v>277</v>
      </c>
      <c r="B58" s="3" t="s">
        <v>281</v>
      </c>
      <c r="C58" s="2" t="s">
        <v>18</v>
      </c>
      <c r="D58" s="4" t="s">
        <v>282</v>
      </c>
      <c r="E58" s="3" t="s">
        <v>20</v>
      </c>
      <c r="F58" s="4" t="s">
        <v>283</v>
      </c>
      <c r="G58" s="4" t="s">
        <v>284</v>
      </c>
      <c r="H58" s="3" t="s">
        <v>15</v>
      </c>
      <c r="I58" s="4"/>
    </row>
    <row r="59" customFormat="false" ht="22.35" hidden="false" customHeight="false" outlineLevel="0" collapsed="false">
      <c r="A59" s="2" t="s">
        <v>277</v>
      </c>
      <c r="B59" s="3" t="s">
        <v>285</v>
      </c>
      <c r="C59" s="2" t="s">
        <v>24</v>
      </c>
      <c r="D59" s="4" t="s">
        <v>25</v>
      </c>
      <c r="E59" s="3" t="s">
        <v>20</v>
      </c>
      <c r="F59" s="4" t="s">
        <v>286</v>
      </c>
      <c r="G59" s="4" t="s">
        <v>27</v>
      </c>
      <c r="H59" s="3" t="s">
        <v>15</v>
      </c>
      <c r="I59" s="4" t="s">
        <v>28</v>
      </c>
    </row>
    <row r="60" customFormat="false" ht="22.35" hidden="false" customHeight="false" outlineLevel="0" collapsed="false">
      <c r="A60" s="2" t="s">
        <v>277</v>
      </c>
      <c r="B60" s="3" t="s">
        <v>287</v>
      </c>
      <c r="C60" s="2" t="s">
        <v>30</v>
      </c>
      <c r="D60" s="4" t="s">
        <v>31</v>
      </c>
      <c r="E60" s="3" t="s">
        <v>32</v>
      </c>
      <c r="F60" s="4" t="s">
        <v>288</v>
      </c>
      <c r="G60" s="4" t="s">
        <v>34</v>
      </c>
      <c r="H60" s="3" t="s">
        <v>15</v>
      </c>
      <c r="I60" s="4"/>
    </row>
    <row r="61" customFormat="false" ht="32.8" hidden="false" customHeight="false" outlineLevel="0" collapsed="false">
      <c r="A61" s="2" t="s">
        <v>277</v>
      </c>
      <c r="B61" s="3" t="s">
        <v>289</v>
      </c>
      <c r="C61" s="2" t="s">
        <v>36</v>
      </c>
      <c r="D61" s="4" t="s">
        <v>290</v>
      </c>
      <c r="E61" s="3" t="s">
        <v>38</v>
      </c>
      <c r="F61" s="4" t="s">
        <v>291</v>
      </c>
      <c r="G61" s="4" t="s">
        <v>40</v>
      </c>
      <c r="H61" s="3" t="s">
        <v>15</v>
      </c>
      <c r="I61" s="4"/>
    </row>
    <row r="62" customFormat="false" ht="53.7" hidden="false" customHeight="false" outlineLevel="0" collapsed="false">
      <c r="A62" s="2" t="s">
        <v>277</v>
      </c>
      <c r="B62" s="3" t="s">
        <v>292</v>
      </c>
      <c r="C62" s="2" t="s">
        <v>293</v>
      </c>
      <c r="D62" s="4" t="s">
        <v>294</v>
      </c>
      <c r="E62" s="3" t="s">
        <v>38</v>
      </c>
      <c r="F62" s="4" t="s">
        <v>295</v>
      </c>
      <c r="G62" s="4" t="s">
        <v>296</v>
      </c>
      <c r="H62" s="3" t="s">
        <v>15</v>
      </c>
      <c r="I62" s="4" t="s">
        <v>46</v>
      </c>
    </row>
    <row r="63" customFormat="false" ht="32.8" hidden="false" customHeight="false" outlineLevel="0" collapsed="false">
      <c r="A63" s="2" t="s">
        <v>277</v>
      </c>
      <c r="B63" s="3" t="s">
        <v>297</v>
      </c>
      <c r="C63" s="2" t="s">
        <v>298</v>
      </c>
      <c r="D63" s="4" t="s">
        <v>299</v>
      </c>
      <c r="E63" s="3" t="s">
        <v>38</v>
      </c>
      <c r="F63" s="4" t="s">
        <v>300</v>
      </c>
      <c r="G63" s="4" t="s">
        <v>301</v>
      </c>
      <c r="H63" s="3" t="s">
        <v>15</v>
      </c>
      <c r="I63" s="4" t="s">
        <v>302</v>
      </c>
    </row>
    <row r="64" customFormat="false" ht="53.7" hidden="false" customHeight="false" outlineLevel="0" collapsed="false">
      <c r="A64" s="2" t="s">
        <v>277</v>
      </c>
      <c r="B64" s="3" t="s">
        <v>303</v>
      </c>
      <c r="C64" s="2" t="s">
        <v>59</v>
      </c>
      <c r="D64" s="4" t="s">
        <v>304</v>
      </c>
      <c r="E64" s="3" t="s">
        <v>38</v>
      </c>
      <c r="F64" s="4" t="s">
        <v>305</v>
      </c>
      <c r="G64" s="4" t="s">
        <v>62</v>
      </c>
      <c r="H64" s="3" t="s">
        <v>15</v>
      </c>
      <c r="I64" s="4" t="s">
        <v>63</v>
      </c>
    </row>
    <row r="65" customFormat="false" ht="64.15" hidden="false" customHeight="false" outlineLevel="0" collapsed="false">
      <c r="A65" s="2" t="s">
        <v>277</v>
      </c>
      <c r="B65" s="3" t="s">
        <v>306</v>
      </c>
      <c r="C65" s="2" t="s">
        <v>146</v>
      </c>
      <c r="D65" s="4" t="s">
        <v>307</v>
      </c>
      <c r="E65" s="3" t="s">
        <v>67</v>
      </c>
      <c r="F65" s="4" t="s">
        <v>308</v>
      </c>
      <c r="G65" s="4" t="s">
        <v>149</v>
      </c>
      <c r="H65" s="3" t="s">
        <v>15</v>
      </c>
      <c r="I65" s="4" t="s">
        <v>46</v>
      </c>
    </row>
    <row r="66" customFormat="false" ht="53.7" hidden="false" customHeight="false" outlineLevel="0" collapsed="false">
      <c r="A66" s="2" t="s">
        <v>277</v>
      </c>
      <c r="B66" s="3" t="s">
        <v>309</v>
      </c>
      <c r="C66" s="2" t="s">
        <v>310</v>
      </c>
      <c r="D66" s="4" t="s">
        <v>311</v>
      </c>
      <c r="E66" s="3" t="s">
        <v>53</v>
      </c>
      <c r="F66" s="4" t="s">
        <v>312</v>
      </c>
      <c r="G66" s="4" t="s">
        <v>313</v>
      </c>
      <c r="H66" s="3" t="s">
        <v>15</v>
      </c>
      <c r="I66" s="4"/>
    </row>
    <row r="67" customFormat="false" ht="64.15" hidden="false" customHeight="false" outlineLevel="0" collapsed="false">
      <c r="A67" s="2" t="s">
        <v>277</v>
      </c>
      <c r="B67" s="3" t="s">
        <v>70</v>
      </c>
      <c r="C67" s="2" t="s">
        <v>268</v>
      </c>
      <c r="D67" s="4" t="s">
        <v>269</v>
      </c>
      <c r="E67" s="3" t="s">
        <v>73</v>
      </c>
      <c r="F67" s="4" t="s">
        <v>314</v>
      </c>
      <c r="G67" s="4" t="s">
        <v>271</v>
      </c>
      <c r="H67" s="3" t="s">
        <v>76</v>
      </c>
      <c r="I67" s="4" t="s">
        <v>77</v>
      </c>
    </row>
    <row r="68" customFormat="false" ht="64.15" hidden="false" customHeight="false" outlineLevel="0" collapsed="false">
      <c r="A68" s="2" t="s">
        <v>277</v>
      </c>
      <c r="B68" s="3" t="s">
        <v>86</v>
      </c>
      <c r="C68" s="2" t="s">
        <v>87</v>
      </c>
      <c r="D68" s="4" t="s">
        <v>272</v>
      </c>
      <c r="E68" s="3" t="s">
        <v>87</v>
      </c>
      <c r="F68" s="4" t="s">
        <v>315</v>
      </c>
      <c r="G68" s="4" t="s">
        <v>274</v>
      </c>
      <c r="H68" s="3" t="s">
        <v>91</v>
      </c>
      <c r="I68" s="4" t="s">
        <v>92</v>
      </c>
    </row>
    <row r="69" customFormat="false" ht="85.05" hidden="false" customHeight="false" outlineLevel="0" collapsed="false">
      <c r="A69" s="2" t="s">
        <v>277</v>
      </c>
      <c r="B69" s="3" t="s">
        <v>93</v>
      </c>
      <c r="C69" s="2" t="s">
        <v>94</v>
      </c>
      <c r="D69" s="4" t="s">
        <v>316</v>
      </c>
      <c r="E69" s="3" t="s">
        <v>96</v>
      </c>
      <c r="F69" s="4" t="s">
        <v>317</v>
      </c>
      <c r="G69" s="4" t="s">
        <v>98</v>
      </c>
      <c r="H69" s="3" t="s">
        <v>76</v>
      </c>
      <c r="I69" s="4" t="s">
        <v>318</v>
      </c>
    </row>
    <row r="70" customFormat="false" ht="64.15" hidden="false" customHeight="false" outlineLevel="0" collapsed="false">
      <c r="A70" s="2" t="s">
        <v>319</v>
      </c>
      <c r="B70" s="3" t="s">
        <v>10</v>
      </c>
      <c r="C70" s="2" t="s">
        <v>11</v>
      </c>
      <c r="D70" s="4" t="s">
        <v>320</v>
      </c>
      <c r="E70" s="3" t="s">
        <v>11</v>
      </c>
      <c r="F70" s="4" t="s">
        <v>321</v>
      </c>
      <c r="G70" s="4" t="s">
        <v>322</v>
      </c>
      <c r="H70" s="3" t="s">
        <v>15</v>
      </c>
      <c r="I70" s="4" t="s">
        <v>16</v>
      </c>
    </row>
    <row r="71" customFormat="false" ht="15" hidden="false" customHeight="false" outlineLevel="0" collapsed="false">
      <c r="A71" s="2" t="s">
        <v>319</v>
      </c>
      <c r="B71" s="3" t="s">
        <v>323</v>
      </c>
      <c r="C71" s="2" t="s">
        <v>324</v>
      </c>
      <c r="D71" s="4" t="s">
        <v>325</v>
      </c>
      <c r="E71" s="3" t="s">
        <v>20</v>
      </c>
      <c r="F71" s="4" t="s">
        <v>326</v>
      </c>
      <c r="G71" s="4" t="s">
        <v>327</v>
      </c>
      <c r="H71" s="3" t="s">
        <v>15</v>
      </c>
      <c r="I71" s="4"/>
    </row>
    <row r="72" customFormat="false" ht="95.5" hidden="false" customHeight="false" outlineLevel="0" collapsed="false">
      <c r="A72" s="2" t="s">
        <v>319</v>
      </c>
      <c r="B72" s="3" t="s">
        <v>328</v>
      </c>
      <c r="C72" s="2" t="s">
        <v>329</v>
      </c>
      <c r="D72" s="4" t="s">
        <v>330</v>
      </c>
      <c r="E72" s="3" t="s">
        <v>67</v>
      </c>
      <c r="F72" s="4" t="s">
        <v>331</v>
      </c>
      <c r="G72" s="4" t="s">
        <v>332</v>
      </c>
      <c r="H72" s="3" t="s">
        <v>15</v>
      </c>
      <c r="I72" s="4" t="s">
        <v>333</v>
      </c>
    </row>
    <row r="73" customFormat="false" ht="64.15" hidden="false" customHeight="false" outlineLevel="0" collapsed="false">
      <c r="A73" s="2" t="s">
        <v>319</v>
      </c>
      <c r="B73" s="3" t="s">
        <v>334</v>
      </c>
      <c r="C73" s="2" t="s">
        <v>335</v>
      </c>
      <c r="D73" s="4" t="s">
        <v>336</v>
      </c>
      <c r="E73" s="3" t="s">
        <v>67</v>
      </c>
      <c r="F73" s="4" t="s">
        <v>337</v>
      </c>
      <c r="G73" s="4" t="s">
        <v>338</v>
      </c>
      <c r="H73" s="3" t="s">
        <v>15</v>
      </c>
      <c r="I73" s="4"/>
    </row>
    <row r="74" customFormat="false" ht="32.8" hidden="false" customHeight="false" outlineLevel="0" collapsed="false">
      <c r="A74" s="2" t="s">
        <v>319</v>
      </c>
      <c r="B74" s="3" t="s">
        <v>339</v>
      </c>
      <c r="C74" s="2" t="s">
        <v>151</v>
      </c>
      <c r="D74" s="4" t="s">
        <v>340</v>
      </c>
      <c r="E74" s="3" t="s">
        <v>153</v>
      </c>
      <c r="F74" s="4" t="s">
        <v>341</v>
      </c>
      <c r="G74" s="4" t="s">
        <v>202</v>
      </c>
      <c r="H74" s="3" t="s">
        <v>126</v>
      </c>
      <c r="I74" s="4" t="s">
        <v>156</v>
      </c>
    </row>
    <row r="75" customFormat="false" ht="32.8" hidden="false" customHeight="false" outlineLevel="0" collapsed="false">
      <c r="A75" s="2" t="s">
        <v>319</v>
      </c>
      <c r="B75" s="3" t="s">
        <v>342</v>
      </c>
      <c r="C75" s="2" t="s">
        <v>167</v>
      </c>
      <c r="D75" s="4" t="s">
        <v>168</v>
      </c>
      <c r="E75" s="3" t="s">
        <v>153</v>
      </c>
      <c r="F75" s="4" t="s">
        <v>343</v>
      </c>
      <c r="G75" s="4" t="s">
        <v>170</v>
      </c>
      <c r="H75" s="3" t="s">
        <v>15</v>
      </c>
      <c r="I75" s="4"/>
    </row>
    <row r="76" customFormat="false" ht="64.15" hidden="false" customHeight="false" outlineLevel="0" collapsed="false">
      <c r="A76" s="2" t="s">
        <v>319</v>
      </c>
      <c r="B76" s="3" t="s">
        <v>344</v>
      </c>
      <c r="C76" s="2" t="s">
        <v>345</v>
      </c>
      <c r="D76" s="4" t="s">
        <v>346</v>
      </c>
      <c r="E76" s="3" t="s">
        <v>87</v>
      </c>
      <c r="F76" s="4" t="s">
        <v>347</v>
      </c>
      <c r="G76" s="4" t="s">
        <v>348</v>
      </c>
      <c r="H76" s="3" t="s">
        <v>126</v>
      </c>
      <c r="I76" s="4" t="s">
        <v>156</v>
      </c>
    </row>
    <row r="77" customFormat="false" ht="95.5" hidden="false" customHeight="false" outlineLevel="0" collapsed="false">
      <c r="A77" s="2" t="s">
        <v>319</v>
      </c>
      <c r="B77" s="3" t="s">
        <v>93</v>
      </c>
      <c r="C77" s="2" t="s">
        <v>94</v>
      </c>
      <c r="D77" s="4" t="s">
        <v>349</v>
      </c>
      <c r="E77" s="3" t="s">
        <v>96</v>
      </c>
      <c r="F77" s="4" t="s">
        <v>350</v>
      </c>
      <c r="G77" s="4" t="s">
        <v>98</v>
      </c>
      <c r="H77" s="3" t="s">
        <v>76</v>
      </c>
      <c r="I77" s="4" t="s">
        <v>351</v>
      </c>
    </row>
    <row r="78" customFormat="false" ht="53.7" hidden="false" customHeight="false" outlineLevel="0" collapsed="false">
      <c r="A78" s="2" t="s">
        <v>352</v>
      </c>
      <c r="B78" s="3" t="s">
        <v>10</v>
      </c>
      <c r="C78" s="2" t="s">
        <v>11</v>
      </c>
      <c r="D78" s="4" t="s">
        <v>353</v>
      </c>
      <c r="E78" s="3" t="s">
        <v>11</v>
      </c>
      <c r="F78" s="4" t="s">
        <v>354</v>
      </c>
      <c r="G78" s="4" t="s">
        <v>355</v>
      </c>
      <c r="H78" s="3" t="s">
        <v>15</v>
      </c>
      <c r="I78" s="4" t="s">
        <v>16</v>
      </c>
    </row>
    <row r="79" customFormat="false" ht="32.8" hidden="false" customHeight="false" outlineLevel="0" collapsed="false">
      <c r="A79" s="2" t="s">
        <v>352</v>
      </c>
      <c r="B79" s="3" t="s">
        <v>356</v>
      </c>
      <c r="C79" s="2" t="s">
        <v>18</v>
      </c>
      <c r="D79" s="4" t="s">
        <v>19</v>
      </c>
      <c r="E79" s="3" t="s">
        <v>20</v>
      </c>
      <c r="F79" s="4" t="s">
        <v>357</v>
      </c>
      <c r="G79" s="4" t="s">
        <v>358</v>
      </c>
      <c r="H79" s="3" t="s">
        <v>15</v>
      </c>
      <c r="I79" s="4"/>
    </row>
    <row r="80" customFormat="false" ht="22.35" hidden="false" customHeight="false" outlineLevel="0" collapsed="false">
      <c r="A80" s="2" t="s">
        <v>352</v>
      </c>
      <c r="B80" s="3" t="s">
        <v>359</v>
      </c>
      <c r="C80" s="2" t="s">
        <v>24</v>
      </c>
      <c r="D80" s="4" t="s">
        <v>25</v>
      </c>
      <c r="E80" s="3" t="s">
        <v>20</v>
      </c>
      <c r="F80" s="4" t="s">
        <v>109</v>
      </c>
      <c r="G80" s="4" t="s">
        <v>27</v>
      </c>
      <c r="H80" s="3" t="s">
        <v>15</v>
      </c>
      <c r="I80" s="4" t="s">
        <v>28</v>
      </c>
    </row>
    <row r="81" customFormat="false" ht="15" hidden="false" customHeight="false" outlineLevel="0" collapsed="false">
      <c r="A81" s="2" t="s">
        <v>352</v>
      </c>
      <c r="B81" s="3" t="s">
        <v>360</v>
      </c>
      <c r="C81" s="2" t="s">
        <v>30</v>
      </c>
      <c r="D81" s="4" t="s">
        <v>31</v>
      </c>
      <c r="E81" s="3" t="s">
        <v>32</v>
      </c>
      <c r="F81" s="4" t="s">
        <v>361</v>
      </c>
      <c r="G81" s="4" t="s">
        <v>34</v>
      </c>
      <c r="H81" s="3" t="s">
        <v>15</v>
      </c>
      <c r="I81" s="4"/>
    </row>
    <row r="82" customFormat="false" ht="64.15" hidden="false" customHeight="false" outlineLevel="0" collapsed="false">
      <c r="A82" s="2" t="s">
        <v>352</v>
      </c>
      <c r="B82" s="3" t="s">
        <v>362</v>
      </c>
      <c r="C82" s="2" t="s">
        <v>363</v>
      </c>
      <c r="D82" s="4" t="s">
        <v>240</v>
      </c>
      <c r="E82" s="3" t="s">
        <v>38</v>
      </c>
      <c r="F82" s="4" t="s">
        <v>364</v>
      </c>
      <c r="G82" s="4" t="s">
        <v>365</v>
      </c>
      <c r="H82" s="3" t="s">
        <v>15</v>
      </c>
      <c r="I82" s="4" t="s">
        <v>46</v>
      </c>
    </row>
    <row r="83" customFormat="false" ht="43.25" hidden="false" customHeight="false" outlineLevel="0" collapsed="false">
      <c r="A83" s="2" t="s">
        <v>352</v>
      </c>
      <c r="B83" s="3" t="s">
        <v>366</v>
      </c>
      <c r="C83" s="2" t="s">
        <v>367</v>
      </c>
      <c r="D83" s="4" t="s">
        <v>368</v>
      </c>
      <c r="E83" s="3" t="s">
        <v>38</v>
      </c>
      <c r="F83" s="4" t="s">
        <v>369</v>
      </c>
      <c r="G83" s="4" t="s">
        <v>370</v>
      </c>
      <c r="H83" s="3" t="s">
        <v>15</v>
      </c>
      <c r="I83" s="4"/>
    </row>
    <row r="84" customFormat="false" ht="74.6" hidden="false" customHeight="false" outlineLevel="0" collapsed="false">
      <c r="A84" s="2" t="s">
        <v>352</v>
      </c>
      <c r="B84" s="3" t="s">
        <v>371</v>
      </c>
      <c r="C84" s="2" t="s">
        <v>146</v>
      </c>
      <c r="D84" s="4" t="s">
        <v>372</v>
      </c>
      <c r="E84" s="3" t="s">
        <v>67</v>
      </c>
      <c r="F84" s="4" t="s">
        <v>373</v>
      </c>
      <c r="G84" s="4" t="s">
        <v>374</v>
      </c>
      <c r="H84" s="3" t="s">
        <v>15</v>
      </c>
      <c r="I84" s="4" t="s">
        <v>46</v>
      </c>
    </row>
    <row r="85" customFormat="false" ht="53.7" hidden="false" customHeight="false" outlineLevel="0" collapsed="false">
      <c r="A85" s="2" t="s">
        <v>352</v>
      </c>
      <c r="B85" s="3" t="s">
        <v>375</v>
      </c>
      <c r="C85" s="2" t="s">
        <v>376</v>
      </c>
      <c r="D85" s="4" t="s">
        <v>377</v>
      </c>
      <c r="E85" s="3" t="s">
        <v>176</v>
      </c>
      <c r="F85" s="4" t="s">
        <v>378</v>
      </c>
      <c r="G85" s="4" t="s">
        <v>379</v>
      </c>
      <c r="H85" s="3" t="s">
        <v>15</v>
      </c>
      <c r="I85" s="4" t="s">
        <v>380</v>
      </c>
    </row>
    <row r="86" customFormat="false" ht="53.7" hidden="false" customHeight="false" outlineLevel="0" collapsed="false">
      <c r="A86" s="2" t="s">
        <v>352</v>
      </c>
      <c r="B86" s="3" t="s">
        <v>381</v>
      </c>
      <c r="C86" s="2" t="s">
        <v>382</v>
      </c>
      <c r="D86" s="4" t="s">
        <v>383</v>
      </c>
      <c r="E86" s="3" t="s">
        <v>87</v>
      </c>
      <c r="F86" s="4" t="s">
        <v>384</v>
      </c>
      <c r="G86" s="4" t="s">
        <v>385</v>
      </c>
      <c r="H86" s="3" t="s">
        <v>126</v>
      </c>
      <c r="I86" s="4" t="s">
        <v>156</v>
      </c>
    </row>
    <row r="87" customFormat="false" ht="64.15" hidden="false" customHeight="false" outlineLevel="0" collapsed="false">
      <c r="A87" s="2" t="s">
        <v>352</v>
      </c>
      <c r="B87" s="3" t="s">
        <v>93</v>
      </c>
      <c r="C87" s="2" t="s">
        <v>94</v>
      </c>
      <c r="D87" s="4" t="s">
        <v>386</v>
      </c>
      <c r="E87" s="3" t="s">
        <v>96</v>
      </c>
      <c r="F87" s="4" t="s">
        <v>387</v>
      </c>
      <c r="G87" s="4" t="s">
        <v>98</v>
      </c>
      <c r="H87" s="3" t="s">
        <v>76</v>
      </c>
      <c r="I87" s="4" t="s">
        <v>388</v>
      </c>
    </row>
    <row r="88" customFormat="false" ht="64.15" hidden="false" customHeight="false" outlineLevel="0" collapsed="false">
      <c r="A88" s="2" t="s">
        <v>389</v>
      </c>
      <c r="B88" s="3" t="s">
        <v>10</v>
      </c>
      <c r="C88" s="2" t="s">
        <v>11</v>
      </c>
      <c r="D88" s="4" t="s">
        <v>209</v>
      </c>
      <c r="E88" s="3" t="s">
        <v>11</v>
      </c>
      <c r="F88" s="4" t="s">
        <v>390</v>
      </c>
      <c r="G88" s="4" t="s">
        <v>210</v>
      </c>
      <c r="H88" s="3" t="s">
        <v>15</v>
      </c>
      <c r="I88" s="4" t="s">
        <v>16</v>
      </c>
    </row>
    <row r="89" customFormat="false" ht="53.7" hidden="false" customHeight="false" outlineLevel="0" collapsed="false">
      <c r="A89" s="2" t="s">
        <v>389</v>
      </c>
      <c r="B89" s="3" t="s">
        <v>391</v>
      </c>
      <c r="C89" s="2" t="s">
        <v>18</v>
      </c>
      <c r="D89" s="4" t="s">
        <v>282</v>
      </c>
      <c r="E89" s="3" t="s">
        <v>20</v>
      </c>
      <c r="F89" s="4" t="s">
        <v>392</v>
      </c>
      <c r="G89" s="4" t="s">
        <v>284</v>
      </c>
      <c r="H89" s="3" t="s">
        <v>15</v>
      </c>
      <c r="I89" s="4"/>
    </row>
    <row r="90" customFormat="false" ht="22.35" hidden="false" customHeight="false" outlineLevel="0" collapsed="false">
      <c r="A90" s="2" t="s">
        <v>389</v>
      </c>
      <c r="B90" s="3" t="s">
        <v>393</v>
      </c>
      <c r="C90" s="2" t="s">
        <v>24</v>
      </c>
      <c r="D90" s="4" t="s">
        <v>25</v>
      </c>
      <c r="E90" s="3" t="s">
        <v>20</v>
      </c>
      <c r="F90" s="4" t="s">
        <v>394</v>
      </c>
      <c r="G90" s="4" t="s">
        <v>27</v>
      </c>
      <c r="H90" s="3" t="s">
        <v>15</v>
      </c>
      <c r="I90" s="4" t="s">
        <v>28</v>
      </c>
    </row>
    <row r="91" customFormat="false" ht="15" hidden="false" customHeight="false" outlineLevel="0" collapsed="false">
      <c r="A91" s="2" t="s">
        <v>389</v>
      </c>
      <c r="B91" s="3" t="s">
        <v>395</v>
      </c>
      <c r="C91" s="2" t="s">
        <v>30</v>
      </c>
      <c r="D91" s="4" t="s">
        <v>396</v>
      </c>
      <c r="E91" s="3" t="s">
        <v>32</v>
      </c>
      <c r="F91" s="4" t="s">
        <v>397</v>
      </c>
      <c r="G91" s="4" t="s">
        <v>34</v>
      </c>
      <c r="H91" s="3" t="s">
        <v>15</v>
      </c>
      <c r="I91" s="4"/>
    </row>
    <row r="92" customFormat="false" ht="95.5" hidden="false" customHeight="false" outlineLevel="0" collapsed="false">
      <c r="A92" s="2" t="s">
        <v>389</v>
      </c>
      <c r="B92" s="3" t="s">
        <v>398</v>
      </c>
      <c r="C92" s="2" t="s">
        <v>399</v>
      </c>
      <c r="D92" s="4" t="s">
        <v>400</v>
      </c>
      <c r="E92" s="3" t="s">
        <v>176</v>
      </c>
      <c r="F92" s="4" t="s">
        <v>401</v>
      </c>
      <c r="G92" s="4" t="s">
        <v>402</v>
      </c>
      <c r="H92" s="3" t="s">
        <v>126</v>
      </c>
      <c r="I92" s="4" t="s">
        <v>403</v>
      </c>
    </row>
    <row r="93" customFormat="false" ht="64.15" hidden="false" customHeight="false" outlineLevel="0" collapsed="false">
      <c r="A93" s="2" t="s">
        <v>389</v>
      </c>
      <c r="B93" s="3" t="s">
        <v>404</v>
      </c>
      <c r="C93" s="2" t="s">
        <v>36</v>
      </c>
      <c r="D93" s="4" t="s">
        <v>405</v>
      </c>
      <c r="E93" s="3" t="s">
        <v>38</v>
      </c>
      <c r="F93" s="4" t="s">
        <v>406</v>
      </c>
      <c r="G93" s="4" t="s">
        <v>242</v>
      </c>
      <c r="H93" s="3" t="s">
        <v>15</v>
      </c>
      <c r="I93" s="4"/>
    </row>
    <row r="94" customFormat="false" ht="64.15" hidden="false" customHeight="false" outlineLevel="0" collapsed="false">
      <c r="A94" s="2" t="s">
        <v>389</v>
      </c>
      <c r="B94" s="3" t="s">
        <v>407</v>
      </c>
      <c r="C94" s="2" t="s">
        <v>293</v>
      </c>
      <c r="D94" s="4" t="s">
        <v>294</v>
      </c>
      <c r="E94" s="3" t="s">
        <v>38</v>
      </c>
      <c r="F94" s="4" t="s">
        <v>408</v>
      </c>
      <c r="G94" s="4" t="s">
        <v>409</v>
      </c>
      <c r="H94" s="3" t="s">
        <v>15</v>
      </c>
      <c r="I94" s="4" t="s">
        <v>46</v>
      </c>
    </row>
    <row r="95" customFormat="false" ht="74.6" hidden="false" customHeight="false" outlineLevel="0" collapsed="false">
      <c r="A95" s="2" t="s">
        <v>389</v>
      </c>
      <c r="B95" s="3" t="s">
        <v>410</v>
      </c>
      <c r="C95" s="2" t="s">
        <v>59</v>
      </c>
      <c r="D95" s="4" t="s">
        <v>411</v>
      </c>
      <c r="E95" s="3" t="s">
        <v>38</v>
      </c>
      <c r="F95" s="4" t="s">
        <v>412</v>
      </c>
      <c r="G95" s="4" t="s">
        <v>62</v>
      </c>
      <c r="H95" s="3" t="s">
        <v>15</v>
      </c>
      <c r="I95" s="4" t="s">
        <v>63</v>
      </c>
    </row>
    <row r="96" customFormat="false" ht="74.6" hidden="false" customHeight="false" outlineLevel="0" collapsed="false">
      <c r="A96" s="2" t="s">
        <v>389</v>
      </c>
      <c r="B96" s="3" t="s">
        <v>413</v>
      </c>
      <c r="C96" s="2" t="s">
        <v>146</v>
      </c>
      <c r="D96" s="4" t="s">
        <v>147</v>
      </c>
      <c r="E96" s="3" t="s">
        <v>67</v>
      </c>
      <c r="F96" s="4" t="s">
        <v>414</v>
      </c>
      <c r="G96" s="4" t="s">
        <v>149</v>
      </c>
      <c r="H96" s="3" t="s">
        <v>15</v>
      </c>
      <c r="I96" s="4" t="s">
        <v>46</v>
      </c>
    </row>
    <row r="97" customFormat="false" ht="32.8" hidden="false" customHeight="false" outlineLevel="0" collapsed="false">
      <c r="A97" s="2" t="s">
        <v>389</v>
      </c>
      <c r="B97" s="3" t="s">
        <v>415</v>
      </c>
      <c r="C97" s="2" t="s">
        <v>151</v>
      </c>
      <c r="D97" s="4" t="s">
        <v>200</v>
      </c>
      <c r="E97" s="3" t="s">
        <v>153</v>
      </c>
      <c r="F97" s="4" t="s">
        <v>416</v>
      </c>
      <c r="G97" s="4" t="s">
        <v>202</v>
      </c>
      <c r="H97" s="3" t="s">
        <v>126</v>
      </c>
      <c r="I97" s="4" t="s">
        <v>156</v>
      </c>
    </row>
    <row r="98" customFormat="false" ht="15" hidden="false" customHeight="false" outlineLevel="0" collapsed="false">
      <c r="A98" s="2" t="s">
        <v>389</v>
      </c>
      <c r="B98" s="3" t="s">
        <v>417</v>
      </c>
      <c r="C98" s="2" t="s">
        <v>167</v>
      </c>
      <c r="D98" s="4" t="s">
        <v>418</v>
      </c>
      <c r="E98" s="3" t="s">
        <v>153</v>
      </c>
      <c r="F98" s="4" t="s">
        <v>419</v>
      </c>
      <c r="G98" s="4" t="s">
        <v>170</v>
      </c>
      <c r="H98" s="3" t="s">
        <v>15</v>
      </c>
      <c r="I98" s="4"/>
    </row>
    <row r="99" customFormat="false" ht="74.6" hidden="false" customHeight="false" outlineLevel="0" collapsed="false">
      <c r="A99" s="2" t="s">
        <v>389</v>
      </c>
      <c r="B99" s="3" t="s">
        <v>420</v>
      </c>
      <c r="C99" s="2" t="s">
        <v>87</v>
      </c>
      <c r="D99" s="4" t="s">
        <v>421</v>
      </c>
      <c r="E99" s="3" t="s">
        <v>87</v>
      </c>
      <c r="F99" s="4" t="s">
        <v>422</v>
      </c>
      <c r="G99" s="4" t="s">
        <v>423</v>
      </c>
      <c r="H99" s="3" t="s">
        <v>126</v>
      </c>
      <c r="I99" s="4" t="s">
        <v>156</v>
      </c>
    </row>
    <row r="100" customFormat="false" ht="85.05" hidden="false" customHeight="false" outlineLevel="0" collapsed="false">
      <c r="A100" s="2" t="s">
        <v>389</v>
      </c>
      <c r="B100" s="3" t="s">
        <v>70</v>
      </c>
      <c r="C100" s="2" t="s">
        <v>268</v>
      </c>
      <c r="D100" s="4" t="s">
        <v>269</v>
      </c>
      <c r="E100" s="3" t="s">
        <v>73</v>
      </c>
      <c r="F100" s="4" t="s">
        <v>424</v>
      </c>
      <c r="G100" s="4" t="s">
        <v>271</v>
      </c>
      <c r="H100" s="3" t="s">
        <v>76</v>
      </c>
      <c r="I100" s="4" t="s">
        <v>77</v>
      </c>
    </row>
    <row r="101" customFormat="false" ht="95.5" hidden="false" customHeight="false" outlineLevel="0" collapsed="false">
      <c r="A101" s="2" t="s">
        <v>389</v>
      </c>
      <c r="B101" s="3" t="s">
        <v>93</v>
      </c>
      <c r="C101" s="2" t="s">
        <v>94</v>
      </c>
      <c r="D101" s="4" t="s">
        <v>425</v>
      </c>
      <c r="E101" s="3" t="s">
        <v>96</v>
      </c>
      <c r="F101" s="4" t="s">
        <v>426</v>
      </c>
      <c r="G101" s="4" t="s">
        <v>98</v>
      </c>
      <c r="H101" s="3" t="s">
        <v>76</v>
      </c>
      <c r="I101" s="4" t="s">
        <v>427</v>
      </c>
    </row>
    <row r="102" customFormat="false" ht="43.25" hidden="false" customHeight="false" outlineLevel="0" collapsed="false">
      <c r="A102" s="2" t="s">
        <v>428</v>
      </c>
      <c r="B102" s="3" t="s">
        <v>10</v>
      </c>
      <c r="C102" s="2" t="s">
        <v>11</v>
      </c>
      <c r="D102" s="4" t="s">
        <v>429</v>
      </c>
      <c r="E102" s="3" t="s">
        <v>11</v>
      </c>
      <c r="F102" s="4" t="s">
        <v>430</v>
      </c>
      <c r="G102" s="4" t="s">
        <v>431</v>
      </c>
      <c r="H102" s="3" t="s">
        <v>15</v>
      </c>
      <c r="I102" s="4" t="s">
        <v>432</v>
      </c>
    </row>
    <row r="103" customFormat="false" ht="53.7" hidden="false" customHeight="false" outlineLevel="0" collapsed="false">
      <c r="A103" s="2" t="s">
        <v>428</v>
      </c>
      <c r="B103" s="3" t="s">
        <v>433</v>
      </c>
      <c r="C103" s="2" t="s">
        <v>18</v>
      </c>
      <c r="D103" s="4" t="s">
        <v>282</v>
      </c>
      <c r="E103" s="3" t="s">
        <v>20</v>
      </c>
      <c r="F103" s="4" t="s">
        <v>434</v>
      </c>
      <c r="G103" s="4" t="s">
        <v>284</v>
      </c>
      <c r="H103" s="3" t="s">
        <v>15</v>
      </c>
      <c r="I103" s="4"/>
    </row>
    <row r="104" customFormat="false" ht="22.35" hidden="false" customHeight="false" outlineLevel="0" collapsed="false">
      <c r="A104" s="2" t="s">
        <v>428</v>
      </c>
      <c r="B104" s="3" t="s">
        <v>435</v>
      </c>
      <c r="C104" s="2" t="s">
        <v>24</v>
      </c>
      <c r="D104" s="4" t="s">
        <v>25</v>
      </c>
      <c r="E104" s="3" t="s">
        <v>20</v>
      </c>
      <c r="F104" s="4" t="s">
        <v>394</v>
      </c>
      <c r="G104" s="4" t="s">
        <v>27</v>
      </c>
      <c r="H104" s="3" t="s">
        <v>15</v>
      </c>
      <c r="I104" s="4" t="s">
        <v>28</v>
      </c>
    </row>
    <row r="105" customFormat="false" ht="22.35" hidden="false" customHeight="false" outlineLevel="0" collapsed="false">
      <c r="A105" s="2" t="s">
        <v>428</v>
      </c>
      <c r="B105" s="3" t="s">
        <v>436</v>
      </c>
      <c r="C105" s="2" t="s">
        <v>30</v>
      </c>
      <c r="D105" s="4" t="s">
        <v>437</v>
      </c>
      <c r="E105" s="3" t="s">
        <v>32</v>
      </c>
      <c r="F105" s="4" t="s">
        <v>397</v>
      </c>
      <c r="G105" s="4" t="s">
        <v>34</v>
      </c>
      <c r="H105" s="3" t="s">
        <v>15</v>
      </c>
      <c r="I105" s="4"/>
    </row>
    <row r="106" customFormat="false" ht="64.15" hidden="false" customHeight="false" outlineLevel="0" collapsed="false">
      <c r="A106" s="2" t="s">
        <v>428</v>
      </c>
      <c r="B106" s="3" t="s">
        <v>438</v>
      </c>
      <c r="C106" s="2" t="s">
        <v>439</v>
      </c>
      <c r="D106" s="4" t="s">
        <v>440</v>
      </c>
      <c r="E106" s="3" t="s">
        <v>176</v>
      </c>
      <c r="F106" s="4" t="s">
        <v>441</v>
      </c>
      <c r="G106" s="4" t="s">
        <v>442</v>
      </c>
      <c r="H106" s="3" t="s">
        <v>15</v>
      </c>
      <c r="I106" s="4" t="s">
        <v>63</v>
      </c>
    </row>
    <row r="107" customFormat="false" ht="43.25" hidden="false" customHeight="false" outlineLevel="0" collapsed="false">
      <c r="A107" s="2" t="s">
        <v>428</v>
      </c>
      <c r="B107" s="3" t="s">
        <v>443</v>
      </c>
      <c r="C107" s="2" t="s">
        <v>444</v>
      </c>
      <c r="D107" s="4" t="s">
        <v>445</v>
      </c>
      <c r="E107" s="3" t="s">
        <v>38</v>
      </c>
      <c r="F107" s="4" t="s">
        <v>446</v>
      </c>
      <c r="G107" s="4" t="s">
        <v>447</v>
      </c>
      <c r="H107" s="3" t="s">
        <v>15</v>
      </c>
      <c r="I107" s="4"/>
    </row>
    <row r="108" customFormat="false" ht="32.8" hidden="false" customHeight="false" outlineLevel="0" collapsed="false">
      <c r="A108" s="2" t="s">
        <v>428</v>
      </c>
      <c r="B108" s="3" t="s">
        <v>448</v>
      </c>
      <c r="C108" s="2" t="s">
        <v>36</v>
      </c>
      <c r="D108" s="4" t="s">
        <v>405</v>
      </c>
      <c r="E108" s="3" t="s">
        <v>38</v>
      </c>
      <c r="F108" s="4" t="s">
        <v>449</v>
      </c>
      <c r="G108" s="4" t="s">
        <v>450</v>
      </c>
      <c r="H108" s="3" t="s">
        <v>15</v>
      </c>
      <c r="I108" s="4"/>
    </row>
    <row r="109" customFormat="false" ht="53.7" hidden="false" customHeight="false" outlineLevel="0" collapsed="false">
      <c r="A109" s="2" t="s">
        <v>428</v>
      </c>
      <c r="B109" s="3" t="s">
        <v>451</v>
      </c>
      <c r="C109" s="2" t="s">
        <v>146</v>
      </c>
      <c r="D109" s="4" t="s">
        <v>244</v>
      </c>
      <c r="E109" s="3" t="s">
        <v>67</v>
      </c>
      <c r="F109" s="4" t="s">
        <v>452</v>
      </c>
      <c r="G109" s="4" t="s">
        <v>149</v>
      </c>
      <c r="H109" s="3" t="s">
        <v>15</v>
      </c>
      <c r="I109" s="4" t="s">
        <v>46</v>
      </c>
    </row>
    <row r="110" customFormat="false" ht="32.8" hidden="false" customHeight="false" outlineLevel="0" collapsed="false">
      <c r="A110" s="2" t="s">
        <v>428</v>
      </c>
      <c r="B110" s="3" t="s">
        <v>453</v>
      </c>
      <c r="C110" s="2" t="s">
        <v>151</v>
      </c>
      <c r="D110" s="4" t="s">
        <v>200</v>
      </c>
      <c r="E110" s="3" t="s">
        <v>153</v>
      </c>
      <c r="F110" s="4" t="s">
        <v>416</v>
      </c>
      <c r="G110" s="4" t="s">
        <v>202</v>
      </c>
      <c r="H110" s="3" t="s">
        <v>126</v>
      </c>
      <c r="I110" s="4" t="s">
        <v>156</v>
      </c>
    </row>
    <row r="111" customFormat="false" ht="22.35" hidden="false" customHeight="false" outlineLevel="0" collapsed="false">
      <c r="A111" s="2" t="s">
        <v>428</v>
      </c>
      <c r="B111" s="3" t="s">
        <v>454</v>
      </c>
      <c r="C111" s="2" t="s">
        <v>167</v>
      </c>
      <c r="D111" s="4" t="s">
        <v>418</v>
      </c>
      <c r="E111" s="3" t="s">
        <v>153</v>
      </c>
      <c r="F111" s="4" t="s">
        <v>419</v>
      </c>
      <c r="G111" s="4" t="s">
        <v>170</v>
      </c>
      <c r="H111" s="3" t="s">
        <v>15</v>
      </c>
      <c r="I111" s="4"/>
    </row>
    <row r="112" customFormat="false" ht="74.6" hidden="false" customHeight="false" outlineLevel="0" collapsed="false">
      <c r="A112" s="2" t="s">
        <v>428</v>
      </c>
      <c r="B112" s="3" t="s">
        <v>455</v>
      </c>
      <c r="C112" s="2" t="s">
        <v>87</v>
      </c>
      <c r="D112" s="4" t="s">
        <v>456</v>
      </c>
      <c r="E112" s="3" t="s">
        <v>87</v>
      </c>
      <c r="F112" s="4" t="s">
        <v>457</v>
      </c>
      <c r="G112" s="4" t="s">
        <v>458</v>
      </c>
      <c r="H112" s="3" t="s">
        <v>126</v>
      </c>
      <c r="I112" s="4" t="s">
        <v>156</v>
      </c>
    </row>
    <row r="113" customFormat="false" ht="43.25" hidden="false" customHeight="false" outlineLevel="0" collapsed="false">
      <c r="A113" s="2" t="s">
        <v>428</v>
      </c>
      <c r="B113" s="3" t="s">
        <v>93</v>
      </c>
      <c r="C113" s="2" t="s">
        <v>94</v>
      </c>
      <c r="D113" s="4" t="s">
        <v>459</v>
      </c>
      <c r="E113" s="3" t="s">
        <v>96</v>
      </c>
      <c r="F113" s="4" t="s">
        <v>460</v>
      </c>
      <c r="G113" s="4" t="s">
        <v>98</v>
      </c>
      <c r="H113" s="3" t="s">
        <v>76</v>
      </c>
      <c r="I113" s="4" t="s">
        <v>99</v>
      </c>
    </row>
    <row r="114" customFormat="false" ht="32.8" hidden="false" customHeight="false" outlineLevel="0" collapsed="false">
      <c r="A114" s="2" t="s">
        <v>461</v>
      </c>
      <c r="B114" s="3" t="s">
        <v>10</v>
      </c>
      <c r="C114" s="2" t="s">
        <v>11</v>
      </c>
      <c r="D114" s="4" t="s">
        <v>462</v>
      </c>
      <c r="E114" s="3" t="s">
        <v>11</v>
      </c>
      <c r="F114" s="4" t="s">
        <v>463</v>
      </c>
      <c r="G114" s="4" t="s">
        <v>464</v>
      </c>
      <c r="H114" s="3" t="s">
        <v>15</v>
      </c>
      <c r="I114" s="4" t="s">
        <v>465</v>
      </c>
    </row>
    <row r="115" customFormat="false" ht="32.8" hidden="false" customHeight="false" outlineLevel="0" collapsed="false">
      <c r="A115" s="2" t="s">
        <v>461</v>
      </c>
      <c r="B115" s="3" t="s">
        <v>466</v>
      </c>
      <c r="C115" s="2" t="s">
        <v>18</v>
      </c>
      <c r="D115" s="4" t="s">
        <v>467</v>
      </c>
      <c r="E115" s="3" t="s">
        <v>20</v>
      </c>
      <c r="F115" s="4" t="s">
        <v>468</v>
      </c>
      <c r="G115" s="4" t="s">
        <v>284</v>
      </c>
      <c r="H115" s="3" t="s">
        <v>15</v>
      </c>
      <c r="I115" s="4"/>
    </row>
    <row r="116" customFormat="false" ht="22.35" hidden="false" customHeight="false" outlineLevel="0" collapsed="false">
      <c r="A116" s="2" t="s">
        <v>461</v>
      </c>
      <c r="B116" s="3" t="s">
        <v>469</v>
      </c>
      <c r="C116" s="2" t="s">
        <v>24</v>
      </c>
      <c r="D116" s="4" t="s">
        <v>25</v>
      </c>
      <c r="E116" s="3" t="s">
        <v>20</v>
      </c>
      <c r="F116" s="4" t="s">
        <v>286</v>
      </c>
      <c r="G116" s="4" t="s">
        <v>27</v>
      </c>
      <c r="H116" s="3" t="s">
        <v>15</v>
      </c>
      <c r="I116" s="4" t="s">
        <v>28</v>
      </c>
    </row>
    <row r="117" customFormat="false" ht="15" hidden="false" customHeight="false" outlineLevel="0" collapsed="false">
      <c r="A117" s="2" t="s">
        <v>461</v>
      </c>
      <c r="B117" s="3" t="s">
        <v>470</v>
      </c>
      <c r="C117" s="2" t="s">
        <v>324</v>
      </c>
      <c r="D117" s="4" t="s">
        <v>325</v>
      </c>
      <c r="E117" s="3" t="s">
        <v>20</v>
      </c>
      <c r="F117" s="4" t="s">
        <v>471</v>
      </c>
      <c r="G117" s="4" t="s">
        <v>327</v>
      </c>
      <c r="H117" s="3" t="s">
        <v>15</v>
      </c>
      <c r="I117" s="4"/>
    </row>
    <row r="118" customFormat="false" ht="64.15" hidden="false" customHeight="false" outlineLevel="0" collapsed="false">
      <c r="A118" s="2" t="s">
        <v>461</v>
      </c>
      <c r="B118" s="3" t="s">
        <v>472</v>
      </c>
      <c r="C118" s="2" t="s">
        <v>473</v>
      </c>
      <c r="D118" s="4" t="s">
        <v>474</v>
      </c>
      <c r="E118" s="3" t="s">
        <v>87</v>
      </c>
      <c r="F118" s="4" t="s">
        <v>475</v>
      </c>
      <c r="G118" s="4" t="s">
        <v>476</v>
      </c>
      <c r="H118" s="3" t="s">
        <v>126</v>
      </c>
      <c r="I118" s="4" t="s">
        <v>477</v>
      </c>
    </row>
    <row r="119" customFormat="false" ht="43.25" hidden="false" customHeight="false" outlineLevel="0" collapsed="false">
      <c r="A119" s="2" t="s">
        <v>461</v>
      </c>
      <c r="B119" s="3" t="s">
        <v>478</v>
      </c>
      <c r="C119" s="2" t="s">
        <v>479</v>
      </c>
      <c r="D119" s="4" t="s">
        <v>480</v>
      </c>
      <c r="E119" s="3" t="s">
        <v>67</v>
      </c>
      <c r="F119" s="4" t="s">
        <v>481</v>
      </c>
      <c r="G119" s="4" t="s">
        <v>482</v>
      </c>
      <c r="H119" s="3" t="s">
        <v>15</v>
      </c>
      <c r="I119" s="4"/>
    </row>
    <row r="120" customFormat="false" ht="53.7" hidden="false" customHeight="false" outlineLevel="0" collapsed="false">
      <c r="A120" s="2" t="s">
        <v>461</v>
      </c>
      <c r="B120" s="3" t="s">
        <v>483</v>
      </c>
      <c r="C120" s="2" t="s">
        <v>484</v>
      </c>
      <c r="D120" s="4" t="s">
        <v>485</v>
      </c>
      <c r="E120" s="3" t="s">
        <v>38</v>
      </c>
      <c r="F120" s="4" t="s">
        <v>486</v>
      </c>
      <c r="G120" s="4" t="s">
        <v>487</v>
      </c>
      <c r="H120" s="3" t="s">
        <v>15</v>
      </c>
      <c r="I120" s="4"/>
    </row>
    <row r="121" customFormat="false" ht="53.7" hidden="false" customHeight="false" outlineLevel="0" collapsed="false">
      <c r="A121" s="2" t="s">
        <v>461</v>
      </c>
      <c r="B121" s="3" t="s">
        <v>488</v>
      </c>
      <c r="C121" s="2" t="s">
        <v>146</v>
      </c>
      <c r="D121" s="4" t="s">
        <v>307</v>
      </c>
      <c r="E121" s="3" t="s">
        <v>67</v>
      </c>
      <c r="F121" s="4" t="s">
        <v>489</v>
      </c>
      <c r="G121" s="4" t="s">
        <v>149</v>
      </c>
      <c r="H121" s="3" t="s">
        <v>15</v>
      </c>
      <c r="I121" s="4" t="s">
        <v>46</v>
      </c>
    </row>
    <row r="122" customFormat="false" ht="32.8" hidden="false" customHeight="false" outlineLevel="0" collapsed="false">
      <c r="A122" s="2" t="s">
        <v>461</v>
      </c>
      <c r="B122" s="3" t="s">
        <v>490</v>
      </c>
      <c r="C122" s="2" t="s">
        <v>151</v>
      </c>
      <c r="D122" s="4" t="s">
        <v>340</v>
      </c>
      <c r="E122" s="3" t="s">
        <v>153</v>
      </c>
      <c r="F122" s="4" t="s">
        <v>341</v>
      </c>
      <c r="G122" s="4" t="s">
        <v>202</v>
      </c>
      <c r="H122" s="3" t="s">
        <v>126</v>
      </c>
      <c r="I122" s="4" t="s">
        <v>156</v>
      </c>
    </row>
    <row r="123" customFormat="false" ht="32.8" hidden="false" customHeight="false" outlineLevel="0" collapsed="false">
      <c r="A123" s="2" t="s">
        <v>461</v>
      </c>
      <c r="B123" s="3" t="s">
        <v>491</v>
      </c>
      <c r="C123" s="2" t="s">
        <v>167</v>
      </c>
      <c r="D123" s="4" t="s">
        <v>418</v>
      </c>
      <c r="E123" s="3" t="s">
        <v>153</v>
      </c>
      <c r="F123" s="4" t="s">
        <v>343</v>
      </c>
      <c r="G123" s="4" t="s">
        <v>170</v>
      </c>
      <c r="H123" s="3" t="s">
        <v>15</v>
      </c>
      <c r="I123" s="4"/>
    </row>
    <row r="124" customFormat="false" ht="74.6" hidden="false" customHeight="false" outlineLevel="0" collapsed="false">
      <c r="A124" s="2" t="s">
        <v>461</v>
      </c>
      <c r="B124" s="3" t="s">
        <v>93</v>
      </c>
      <c r="C124" s="2" t="s">
        <v>94</v>
      </c>
      <c r="D124" s="4" t="s">
        <v>492</v>
      </c>
      <c r="E124" s="3" t="s">
        <v>96</v>
      </c>
      <c r="F124" s="4" t="s">
        <v>493</v>
      </c>
      <c r="G124" s="4" t="s">
        <v>98</v>
      </c>
      <c r="H124" s="3" t="s">
        <v>76</v>
      </c>
      <c r="I124" s="4" t="s">
        <v>99</v>
      </c>
    </row>
    <row r="125" customFormat="false" ht="43.25" hidden="false" customHeight="false" outlineLevel="0" collapsed="false">
      <c r="A125" s="2" t="s">
        <v>494</v>
      </c>
      <c r="B125" s="3" t="s">
        <v>10</v>
      </c>
      <c r="C125" s="2" t="s">
        <v>11</v>
      </c>
      <c r="D125" s="4" t="s">
        <v>495</v>
      </c>
      <c r="E125" s="3" t="s">
        <v>11</v>
      </c>
      <c r="F125" s="4" t="s">
        <v>496</v>
      </c>
      <c r="G125" s="4" t="s">
        <v>497</v>
      </c>
      <c r="H125" s="3" t="s">
        <v>15</v>
      </c>
      <c r="I125" s="4" t="s">
        <v>16</v>
      </c>
    </row>
    <row r="126" customFormat="false" ht="53.7" hidden="false" customHeight="false" outlineLevel="0" collapsed="false">
      <c r="A126" s="2" t="s">
        <v>494</v>
      </c>
      <c r="B126" s="3" t="s">
        <v>498</v>
      </c>
      <c r="C126" s="2" t="s">
        <v>18</v>
      </c>
      <c r="D126" s="4" t="s">
        <v>499</v>
      </c>
      <c r="E126" s="3" t="s">
        <v>20</v>
      </c>
      <c r="F126" s="4" t="s">
        <v>500</v>
      </c>
      <c r="G126" s="4" t="s">
        <v>284</v>
      </c>
      <c r="H126" s="3" t="s">
        <v>15</v>
      </c>
      <c r="I126" s="4"/>
    </row>
    <row r="127" customFormat="false" ht="22.35" hidden="false" customHeight="false" outlineLevel="0" collapsed="false">
      <c r="A127" s="2" t="s">
        <v>494</v>
      </c>
      <c r="B127" s="3" t="s">
        <v>501</v>
      </c>
      <c r="C127" s="2" t="s">
        <v>24</v>
      </c>
      <c r="D127" s="4" t="s">
        <v>25</v>
      </c>
      <c r="E127" s="3" t="s">
        <v>20</v>
      </c>
      <c r="F127" s="4" t="s">
        <v>502</v>
      </c>
      <c r="G127" s="4" t="s">
        <v>27</v>
      </c>
      <c r="H127" s="3" t="s">
        <v>15</v>
      </c>
      <c r="I127" s="4" t="s">
        <v>28</v>
      </c>
    </row>
    <row r="128" customFormat="false" ht="15" hidden="false" customHeight="false" outlineLevel="0" collapsed="false">
      <c r="A128" s="2" t="s">
        <v>494</v>
      </c>
      <c r="B128" s="3" t="s">
        <v>503</v>
      </c>
      <c r="C128" s="2" t="s">
        <v>30</v>
      </c>
      <c r="D128" s="4" t="s">
        <v>31</v>
      </c>
      <c r="E128" s="3" t="s">
        <v>32</v>
      </c>
      <c r="F128" s="4" t="s">
        <v>397</v>
      </c>
      <c r="G128" s="4" t="s">
        <v>34</v>
      </c>
      <c r="H128" s="3" t="s">
        <v>15</v>
      </c>
      <c r="I128" s="4"/>
    </row>
    <row r="129" customFormat="false" ht="64.15" hidden="false" customHeight="false" outlineLevel="0" collapsed="false">
      <c r="A129" s="2" t="s">
        <v>494</v>
      </c>
      <c r="B129" s="3" t="s">
        <v>504</v>
      </c>
      <c r="C129" s="2" t="s">
        <v>505</v>
      </c>
      <c r="D129" s="4" t="s">
        <v>377</v>
      </c>
      <c r="E129" s="3" t="s">
        <v>176</v>
      </c>
      <c r="F129" s="4" t="s">
        <v>506</v>
      </c>
      <c r="G129" s="4" t="s">
        <v>507</v>
      </c>
      <c r="H129" s="3" t="s">
        <v>15</v>
      </c>
      <c r="I129" s="4"/>
    </row>
    <row r="130" customFormat="false" ht="43.25" hidden="false" customHeight="false" outlineLevel="0" collapsed="false">
      <c r="A130" s="2" t="s">
        <v>494</v>
      </c>
      <c r="B130" s="3" t="s">
        <v>508</v>
      </c>
      <c r="C130" s="2" t="s">
        <v>509</v>
      </c>
      <c r="D130" s="4" t="s">
        <v>510</v>
      </c>
      <c r="E130" s="3" t="s">
        <v>38</v>
      </c>
      <c r="F130" s="4" t="s">
        <v>511</v>
      </c>
      <c r="G130" s="4" t="s">
        <v>512</v>
      </c>
      <c r="H130" s="3" t="s">
        <v>126</v>
      </c>
      <c r="I130" s="4" t="s">
        <v>513</v>
      </c>
    </row>
    <row r="131" customFormat="false" ht="43.25" hidden="false" customHeight="false" outlineLevel="0" collapsed="false">
      <c r="A131" s="2" t="s">
        <v>494</v>
      </c>
      <c r="B131" s="3" t="s">
        <v>514</v>
      </c>
      <c r="C131" s="2" t="s">
        <v>515</v>
      </c>
      <c r="D131" s="4" t="s">
        <v>516</v>
      </c>
      <c r="E131" s="3" t="s">
        <v>38</v>
      </c>
      <c r="F131" s="4" t="s">
        <v>517</v>
      </c>
      <c r="G131" s="4" t="s">
        <v>518</v>
      </c>
      <c r="H131" s="3" t="s">
        <v>126</v>
      </c>
      <c r="I131" s="4" t="s">
        <v>519</v>
      </c>
    </row>
    <row r="132" customFormat="false" ht="53.7" hidden="false" customHeight="false" outlineLevel="0" collapsed="false">
      <c r="A132" s="2" t="s">
        <v>494</v>
      </c>
      <c r="B132" s="3" t="s">
        <v>520</v>
      </c>
      <c r="C132" s="2" t="s">
        <v>146</v>
      </c>
      <c r="D132" s="4" t="s">
        <v>372</v>
      </c>
      <c r="E132" s="3" t="s">
        <v>67</v>
      </c>
      <c r="F132" s="4" t="s">
        <v>521</v>
      </c>
      <c r="G132" s="4" t="s">
        <v>149</v>
      </c>
      <c r="H132" s="3" t="s">
        <v>15</v>
      </c>
      <c r="I132" s="4" t="s">
        <v>46</v>
      </c>
    </row>
    <row r="133" customFormat="false" ht="64.15" hidden="false" customHeight="false" outlineLevel="0" collapsed="false">
      <c r="A133" s="2" t="s">
        <v>494</v>
      </c>
      <c r="B133" s="3" t="s">
        <v>522</v>
      </c>
      <c r="C133" s="2" t="s">
        <v>523</v>
      </c>
      <c r="D133" s="4" t="s">
        <v>524</v>
      </c>
      <c r="E133" s="3" t="s">
        <v>87</v>
      </c>
      <c r="F133" s="4" t="s">
        <v>525</v>
      </c>
      <c r="G133" s="4" t="s">
        <v>526</v>
      </c>
      <c r="H133" s="3" t="s">
        <v>126</v>
      </c>
      <c r="I133" s="4" t="s">
        <v>527</v>
      </c>
    </row>
    <row r="134" customFormat="false" ht="32.8" hidden="false" customHeight="false" outlineLevel="0" collapsed="false">
      <c r="A134" s="2" t="s">
        <v>494</v>
      </c>
      <c r="B134" s="3" t="s">
        <v>528</v>
      </c>
      <c r="C134" s="2" t="s">
        <v>151</v>
      </c>
      <c r="D134" s="4" t="s">
        <v>529</v>
      </c>
      <c r="E134" s="3" t="s">
        <v>153</v>
      </c>
      <c r="F134" s="4" t="s">
        <v>530</v>
      </c>
      <c r="G134" s="4" t="s">
        <v>202</v>
      </c>
      <c r="H134" s="3" t="s">
        <v>126</v>
      </c>
      <c r="I134" s="4" t="s">
        <v>156</v>
      </c>
    </row>
    <row r="135" customFormat="false" ht="15" hidden="false" customHeight="false" outlineLevel="0" collapsed="false">
      <c r="A135" s="2" t="s">
        <v>494</v>
      </c>
      <c r="B135" s="3" t="s">
        <v>531</v>
      </c>
      <c r="C135" s="2" t="s">
        <v>167</v>
      </c>
      <c r="D135" s="4" t="s">
        <v>168</v>
      </c>
      <c r="E135" s="3" t="s">
        <v>153</v>
      </c>
      <c r="F135" s="4" t="s">
        <v>532</v>
      </c>
      <c r="G135" s="4" t="s">
        <v>170</v>
      </c>
      <c r="H135" s="3" t="s">
        <v>15</v>
      </c>
      <c r="I135" s="4"/>
    </row>
    <row r="136" customFormat="false" ht="43.25" hidden="false" customHeight="false" outlineLevel="0" collapsed="false">
      <c r="A136" s="2" t="s">
        <v>494</v>
      </c>
      <c r="B136" s="3" t="s">
        <v>533</v>
      </c>
      <c r="C136" s="2" t="s">
        <v>534</v>
      </c>
      <c r="D136" s="4" t="s">
        <v>535</v>
      </c>
      <c r="E136" s="3" t="s">
        <v>536</v>
      </c>
      <c r="F136" s="4" t="s">
        <v>537</v>
      </c>
      <c r="G136" s="4" t="s">
        <v>538</v>
      </c>
      <c r="H136" s="3" t="s">
        <v>126</v>
      </c>
      <c r="I136" s="4" t="s">
        <v>539</v>
      </c>
    </row>
    <row r="137" customFormat="false" ht="43.25" hidden="false" customHeight="false" outlineLevel="0" collapsed="false">
      <c r="A137" s="2" t="s">
        <v>494</v>
      </c>
      <c r="B137" s="3" t="s">
        <v>93</v>
      </c>
      <c r="C137" s="2" t="s">
        <v>94</v>
      </c>
      <c r="D137" s="4" t="s">
        <v>540</v>
      </c>
      <c r="E137" s="3" t="s">
        <v>96</v>
      </c>
      <c r="F137" s="4" t="s">
        <v>541</v>
      </c>
      <c r="G137" s="4" t="s">
        <v>98</v>
      </c>
      <c r="H137" s="3" t="s">
        <v>76</v>
      </c>
      <c r="I137" s="4" t="s">
        <v>99</v>
      </c>
    </row>
    <row r="138" customFormat="false" ht="43.25" hidden="false" customHeight="false" outlineLevel="0" collapsed="false">
      <c r="A138" s="2" t="s">
        <v>542</v>
      </c>
      <c r="B138" s="3" t="s">
        <v>10</v>
      </c>
      <c r="C138" s="2" t="s">
        <v>11</v>
      </c>
      <c r="D138" s="4" t="s">
        <v>543</v>
      </c>
      <c r="E138" s="3" t="s">
        <v>11</v>
      </c>
      <c r="F138" s="4" t="s">
        <v>544</v>
      </c>
      <c r="G138" s="4" t="s">
        <v>545</v>
      </c>
      <c r="H138" s="3" t="s">
        <v>15</v>
      </c>
      <c r="I138" s="4"/>
    </row>
    <row r="139" customFormat="false" ht="32.8" hidden="false" customHeight="false" outlineLevel="0" collapsed="false">
      <c r="A139" s="2" t="s">
        <v>542</v>
      </c>
      <c r="B139" s="3" t="s">
        <v>546</v>
      </c>
      <c r="C139" s="2" t="s">
        <v>18</v>
      </c>
      <c r="D139" s="4" t="s">
        <v>282</v>
      </c>
      <c r="E139" s="3" t="s">
        <v>20</v>
      </c>
      <c r="F139" s="4" t="s">
        <v>547</v>
      </c>
      <c r="G139" s="4" t="s">
        <v>284</v>
      </c>
      <c r="H139" s="3" t="s">
        <v>15</v>
      </c>
      <c r="I139" s="4"/>
    </row>
    <row r="140" customFormat="false" ht="22.35" hidden="false" customHeight="false" outlineLevel="0" collapsed="false">
      <c r="A140" s="2" t="s">
        <v>542</v>
      </c>
      <c r="B140" s="3" t="s">
        <v>548</v>
      </c>
      <c r="C140" s="2" t="s">
        <v>24</v>
      </c>
      <c r="D140" s="4" t="s">
        <v>25</v>
      </c>
      <c r="E140" s="3" t="s">
        <v>20</v>
      </c>
      <c r="F140" s="4" t="s">
        <v>502</v>
      </c>
      <c r="G140" s="4" t="s">
        <v>27</v>
      </c>
      <c r="H140" s="3" t="s">
        <v>15</v>
      </c>
      <c r="I140" s="4" t="s">
        <v>28</v>
      </c>
    </row>
    <row r="141" customFormat="false" ht="85.05" hidden="false" customHeight="false" outlineLevel="0" collapsed="false">
      <c r="A141" s="2" t="s">
        <v>542</v>
      </c>
      <c r="B141" s="3" t="s">
        <v>549</v>
      </c>
      <c r="C141" s="2" t="s">
        <v>550</v>
      </c>
      <c r="D141" s="4" t="s">
        <v>551</v>
      </c>
      <c r="E141" s="3" t="s">
        <v>176</v>
      </c>
      <c r="F141" s="4" t="s">
        <v>552</v>
      </c>
      <c r="G141" s="4" t="s">
        <v>553</v>
      </c>
      <c r="H141" s="3" t="s">
        <v>126</v>
      </c>
      <c r="I141" s="4" t="s">
        <v>554</v>
      </c>
    </row>
    <row r="142" customFormat="false" ht="43.25" hidden="false" customHeight="false" outlineLevel="0" collapsed="false">
      <c r="A142" s="2" t="s">
        <v>542</v>
      </c>
      <c r="B142" s="3" t="s">
        <v>555</v>
      </c>
      <c r="C142" s="2" t="s">
        <v>556</v>
      </c>
      <c r="D142" s="4" t="s">
        <v>185</v>
      </c>
      <c r="E142" s="3" t="s">
        <v>38</v>
      </c>
      <c r="F142" s="4" t="s">
        <v>557</v>
      </c>
      <c r="G142" s="4" t="s">
        <v>558</v>
      </c>
      <c r="H142" s="3" t="s">
        <v>15</v>
      </c>
      <c r="I142" s="4"/>
    </row>
    <row r="143" customFormat="false" ht="43.25" hidden="false" customHeight="false" outlineLevel="0" collapsed="false">
      <c r="A143" s="2" t="s">
        <v>542</v>
      </c>
      <c r="B143" s="3" t="s">
        <v>559</v>
      </c>
      <c r="C143" s="2" t="s">
        <v>560</v>
      </c>
      <c r="D143" s="4" t="s">
        <v>561</v>
      </c>
      <c r="E143" s="3" t="s">
        <v>53</v>
      </c>
      <c r="F143" s="4" t="s">
        <v>562</v>
      </c>
      <c r="G143" s="4" t="s">
        <v>563</v>
      </c>
      <c r="H143" s="3" t="s">
        <v>15</v>
      </c>
      <c r="I143" s="4"/>
    </row>
    <row r="144" customFormat="false" ht="22.35" hidden="false" customHeight="false" outlineLevel="0" collapsed="false">
      <c r="A144" s="2" t="s">
        <v>542</v>
      </c>
      <c r="B144" s="3" t="s">
        <v>564</v>
      </c>
      <c r="C144" s="2" t="s">
        <v>565</v>
      </c>
      <c r="D144" s="4" t="s">
        <v>566</v>
      </c>
      <c r="E144" s="3" t="s">
        <v>38</v>
      </c>
      <c r="F144" s="4" t="s">
        <v>567</v>
      </c>
      <c r="G144" s="4" t="s">
        <v>62</v>
      </c>
      <c r="H144" s="3" t="s">
        <v>15</v>
      </c>
      <c r="I144" s="4" t="s">
        <v>63</v>
      </c>
    </row>
    <row r="145" customFormat="false" ht="43.25" hidden="false" customHeight="false" outlineLevel="0" collapsed="false">
      <c r="A145" s="2" t="s">
        <v>542</v>
      </c>
      <c r="B145" s="3" t="s">
        <v>568</v>
      </c>
      <c r="C145" s="2" t="s">
        <v>239</v>
      </c>
      <c r="D145" s="4" t="s">
        <v>569</v>
      </c>
      <c r="E145" s="3" t="s">
        <v>38</v>
      </c>
      <c r="F145" s="4" t="s">
        <v>570</v>
      </c>
      <c r="G145" s="4" t="s">
        <v>242</v>
      </c>
      <c r="H145" s="3" t="s">
        <v>15</v>
      </c>
      <c r="I145" s="4" t="s">
        <v>46</v>
      </c>
    </row>
    <row r="146" customFormat="false" ht="53.7" hidden="false" customHeight="false" outlineLevel="0" collapsed="false">
      <c r="A146" s="2" t="s">
        <v>542</v>
      </c>
      <c r="B146" s="3" t="s">
        <v>571</v>
      </c>
      <c r="C146" s="2" t="s">
        <v>146</v>
      </c>
      <c r="D146" s="4" t="s">
        <v>307</v>
      </c>
      <c r="E146" s="3" t="s">
        <v>67</v>
      </c>
      <c r="F146" s="4" t="s">
        <v>572</v>
      </c>
      <c r="G146" s="4" t="s">
        <v>149</v>
      </c>
      <c r="H146" s="3" t="s">
        <v>15</v>
      </c>
      <c r="I146" s="4" t="s">
        <v>46</v>
      </c>
    </row>
    <row r="147" customFormat="false" ht="43.25" hidden="false" customHeight="false" outlineLevel="0" collapsed="false">
      <c r="A147" s="2" t="s">
        <v>542</v>
      </c>
      <c r="B147" s="3" t="s">
        <v>573</v>
      </c>
      <c r="C147" s="2" t="s">
        <v>194</v>
      </c>
      <c r="D147" s="4" t="s">
        <v>195</v>
      </c>
      <c r="E147" s="3" t="s">
        <v>87</v>
      </c>
      <c r="F147" s="4" t="s">
        <v>574</v>
      </c>
      <c r="G147" s="4" t="s">
        <v>575</v>
      </c>
      <c r="H147" s="3" t="s">
        <v>126</v>
      </c>
      <c r="I147" s="4" t="s">
        <v>156</v>
      </c>
    </row>
    <row r="148" customFormat="false" ht="32.8" hidden="false" customHeight="false" outlineLevel="0" collapsed="false">
      <c r="A148" s="2" t="s">
        <v>542</v>
      </c>
      <c r="B148" s="3" t="s">
        <v>576</v>
      </c>
      <c r="C148" s="2" t="s">
        <v>151</v>
      </c>
      <c r="D148" s="4" t="s">
        <v>200</v>
      </c>
      <c r="E148" s="3" t="s">
        <v>153</v>
      </c>
      <c r="F148" s="4" t="s">
        <v>530</v>
      </c>
      <c r="G148" s="4" t="s">
        <v>202</v>
      </c>
      <c r="H148" s="3" t="s">
        <v>126</v>
      </c>
      <c r="I148" s="4" t="s">
        <v>156</v>
      </c>
    </row>
    <row r="149" customFormat="false" ht="15" hidden="false" customHeight="false" outlineLevel="0" collapsed="false">
      <c r="A149" s="2" t="s">
        <v>542</v>
      </c>
      <c r="B149" s="3" t="s">
        <v>577</v>
      </c>
      <c r="C149" s="2" t="s">
        <v>167</v>
      </c>
      <c r="D149" s="4" t="s">
        <v>168</v>
      </c>
      <c r="E149" s="3" t="s">
        <v>153</v>
      </c>
      <c r="F149" s="4" t="s">
        <v>532</v>
      </c>
      <c r="G149" s="4" t="s">
        <v>170</v>
      </c>
      <c r="H149" s="3" t="s">
        <v>15</v>
      </c>
      <c r="I149" s="4"/>
    </row>
    <row r="150" customFormat="false" ht="74.6" hidden="false" customHeight="false" outlineLevel="0" collapsed="false">
      <c r="A150" s="2" t="s">
        <v>542</v>
      </c>
      <c r="B150" s="3" t="s">
        <v>93</v>
      </c>
      <c r="C150" s="2" t="s">
        <v>94</v>
      </c>
      <c r="D150" s="4" t="s">
        <v>578</v>
      </c>
      <c r="E150" s="3" t="s">
        <v>96</v>
      </c>
      <c r="F150" s="4" t="s">
        <v>579</v>
      </c>
      <c r="G150" s="4" t="s">
        <v>98</v>
      </c>
      <c r="H150" s="3" t="s">
        <v>76</v>
      </c>
      <c r="I150" s="4" t="s">
        <v>580</v>
      </c>
    </row>
    <row r="151" customFormat="false" ht="64.15" hidden="false" customHeight="false" outlineLevel="0" collapsed="false">
      <c r="A151" s="2" t="s">
        <v>581</v>
      </c>
      <c r="B151" s="3" t="s">
        <v>10</v>
      </c>
      <c r="C151" s="2" t="s">
        <v>11</v>
      </c>
      <c r="D151" s="4" t="s">
        <v>582</v>
      </c>
      <c r="E151" s="3" t="s">
        <v>11</v>
      </c>
      <c r="F151" s="4" t="s">
        <v>583</v>
      </c>
      <c r="G151" s="4" t="s">
        <v>584</v>
      </c>
      <c r="H151" s="3" t="s">
        <v>15</v>
      </c>
      <c r="I151" s="4"/>
    </row>
    <row r="152" customFormat="false" ht="22.35" hidden="false" customHeight="false" outlineLevel="0" collapsed="false">
      <c r="A152" s="2" t="s">
        <v>581</v>
      </c>
      <c r="B152" s="3" t="s">
        <v>585</v>
      </c>
      <c r="C152" s="2" t="s">
        <v>18</v>
      </c>
      <c r="D152" s="4" t="s">
        <v>467</v>
      </c>
      <c r="E152" s="3" t="s">
        <v>20</v>
      </c>
      <c r="F152" s="4" t="s">
        <v>586</v>
      </c>
      <c r="G152" s="4" t="s">
        <v>284</v>
      </c>
      <c r="H152" s="3" t="s">
        <v>15</v>
      </c>
      <c r="I152" s="4"/>
    </row>
    <row r="153" customFormat="false" ht="22.35" hidden="false" customHeight="false" outlineLevel="0" collapsed="false">
      <c r="A153" s="2" t="s">
        <v>581</v>
      </c>
      <c r="B153" s="3" t="s">
        <v>587</v>
      </c>
      <c r="C153" s="2" t="s">
        <v>24</v>
      </c>
      <c r="D153" s="4" t="s">
        <v>25</v>
      </c>
      <c r="E153" s="3" t="s">
        <v>20</v>
      </c>
      <c r="F153" s="4" t="s">
        <v>502</v>
      </c>
      <c r="G153" s="4" t="s">
        <v>27</v>
      </c>
      <c r="H153" s="3" t="s">
        <v>15</v>
      </c>
      <c r="I153" s="4" t="s">
        <v>28</v>
      </c>
    </row>
    <row r="154" customFormat="false" ht="64.15" hidden="false" customHeight="false" outlineLevel="0" collapsed="false">
      <c r="A154" s="2" t="s">
        <v>581</v>
      </c>
      <c r="B154" s="3" t="s">
        <v>588</v>
      </c>
      <c r="C154" s="2" t="s">
        <v>589</v>
      </c>
      <c r="D154" s="4" t="s">
        <v>590</v>
      </c>
      <c r="E154" s="3" t="s">
        <v>87</v>
      </c>
      <c r="F154" s="4" t="s">
        <v>591</v>
      </c>
      <c r="G154" s="4" t="s">
        <v>592</v>
      </c>
      <c r="H154" s="3" t="s">
        <v>126</v>
      </c>
      <c r="I154" s="4" t="s">
        <v>156</v>
      </c>
    </row>
    <row r="155" customFormat="false" ht="53.7" hidden="false" customHeight="false" outlineLevel="0" collapsed="false">
      <c r="A155" s="2" t="s">
        <v>581</v>
      </c>
      <c r="B155" s="3" t="s">
        <v>593</v>
      </c>
      <c r="C155" s="2" t="s">
        <v>594</v>
      </c>
      <c r="D155" s="4" t="s">
        <v>595</v>
      </c>
      <c r="E155" s="3" t="s">
        <v>176</v>
      </c>
      <c r="F155" s="4" t="s">
        <v>596</v>
      </c>
      <c r="G155" s="4" t="s">
        <v>597</v>
      </c>
      <c r="H155" s="3" t="s">
        <v>126</v>
      </c>
      <c r="I155" s="4" t="s">
        <v>598</v>
      </c>
    </row>
    <row r="156" customFormat="false" ht="43.25" hidden="false" customHeight="false" outlineLevel="0" collapsed="false">
      <c r="A156" s="2" t="s">
        <v>581</v>
      </c>
      <c r="B156" s="3" t="s">
        <v>599</v>
      </c>
      <c r="C156" s="2" t="s">
        <v>151</v>
      </c>
      <c r="D156" s="4" t="s">
        <v>600</v>
      </c>
      <c r="E156" s="3" t="s">
        <v>153</v>
      </c>
      <c r="F156" s="4" t="s">
        <v>601</v>
      </c>
      <c r="G156" s="4" t="s">
        <v>602</v>
      </c>
      <c r="H156" s="3" t="s">
        <v>126</v>
      </c>
      <c r="I156" s="4" t="s">
        <v>156</v>
      </c>
    </row>
    <row r="157" customFormat="false" ht="15" hidden="false" customHeight="false" outlineLevel="0" collapsed="false">
      <c r="A157" s="2" t="s">
        <v>581</v>
      </c>
      <c r="B157" s="3" t="s">
        <v>603</v>
      </c>
      <c r="C157" s="2" t="s">
        <v>167</v>
      </c>
      <c r="D157" s="4" t="s">
        <v>604</v>
      </c>
      <c r="E157" s="3" t="s">
        <v>153</v>
      </c>
      <c r="F157" s="4" t="s">
        <v>532</v>
      </c>
      <c r="G157" s="4" t="s">
        <v>170</v>
      </c>
      <c r="H157" s="3" t="s">
        <v>15</v>
      </c>
      <c r="I157" s="4"/>
    </row>
    <row r="158" customFormat="false" ht="53.7" hidden="false" customHeight="false" outlineLevel="0" collapsed="false">
      <c r="A158" s="2" t="s">
        <v>581</v>
      </c>
      <c r="B158" s="3" t="s">
        <v>93</v>
      </c>
      <c r="C158" s="2" t="s">
        <v>94</v>
      </c>
      <c r="D158" s="4" t="s">
        <v>605</v>
      </c>
      <c r="E158" s="3" t="s">
        <v>96</v>
      </c>
      <c r="F158" s="4" t="s">
        <v>606</v>
      </c>
      <c r="G158" s="4" t="s">
        <v>98</v>
      </c>
      <c r="H158" s="3" t="s">
        <v>76</v>
      </c>
      <c r="I158" s="4" t="s">
        <v>607</v>
      </c>
    </row>
  </sheetData>
  <autoFilter ref="A1:I158"/>
  <conditionalFormatting sqref="H2:H158">
    <cfRule type="expression" priority="2" aboveAverage="0" equalAverage="0" bottom="0" percent="0" rank="0" text="" dxfId="7">
      <formula>$H2="Easy"</formula>
    </cfRule>
    <cfRule type="expression" priority="3" aboveAverage="0" equalAverage="0" bottom="0" percent="0" rank="0" text="" dxfId="8">
      <formula>$H2="Partly"</formula>
    </cfRule>
    <cfRule type="expression" priority="4" aboveAverage="0" equalAverage="0" bottom="0" percent="0" rank="0" text="" dxfId="9">
      <formula>$H2="No"</formula>
    </cfRule>
    <cfRule type="expression" priority="5" aboveAverage="0" equalAverage="0" bottom="0" percent="0" rank="0" text="" dxfId="10">
      <formula>$H2="n/a"</formula>
    </cfRule>
  </conditionalFormatting>
  <conditionalFormatting sqref="A2:I158">
    <cfRule type="expression" priority="6" aboveAverage="0" equalAverage="0" bottom="0" percent="0" rank="0" text="" dxfId="11">
      <formula>$E2="Valuation"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28"/>
    <col collapsed="false" customWidth="true" hidden="false" outlineLevel="0" max="4" min="4" style="0" width="30"/>
    <col collapsed="false" customWidth="true" hidden="false" outlineLevel="0" max="5" min="5" style="0" width="26"/>
    <col collapsed="false" customWidth="true" hidden="false" outlineLevel="0" max="6" min="6" style="0" width="20"/>
  </cols>
  <sheetData>
    <row r="1" customFormat="false" ht="27.75" hidden="false" customHeight="true" outlineLevel="0" collapsed="false">
      <c r="A1" s="1" t="s">
        <v>0</v>
      </c>
      <c r="B1" s="1" t="s">
        <v>608</v>
      </c>
      <c r="C1" s="1" t="s">
        <v>609</v>
      </c>
      <c r="D1" s="1" t="s">
        <v>610</v>
      </c>
      <c r="E1" s="1" t="s">
        <v>611</v>
      </c>
      <c r="F1" s="1" t="s">
        <v>612</v>
      </c>
    </row>
    <row r="2" customFormat="false" ht="22.35" hidden="false" customHeight="false" outlineLevel="0" collapsed="false">
      <c r="A2" s="2" t="s">
        <v>9</v>
      </c>
      <c r="B2" s="4" t="s">
        <v>613</v>
      </c>
      <c r="C2" s="4" t="s">
        <v>274</v>
      </c>
      <c r="D2" s="4" t="s">
        <v>614</v>
      </c>
      <c r="E2" s="4" t="s">
        <v>76</v>
      </c>
      <c r="F2" s="4" t="s">
        <v>76</v>
      </c>
    </row>
    <row r="3" customFormat="false" ht="22.35" hidden="false" customHeight="false" outlineLevel="0" collapsed="false">
      <c r="A3" s="2" t="s">
        <v>100</v>
      </c>
      <c r="B3" s="4" t="s">
        <v>615</v>
      </c>
      <c r="C3" s="4" t="s">
        <v>616</v>
      </c>
      <c r="D3" s="4" t="s">
        <v>614</v>
      </c>
      <c r="E3" s="4" t="s">
        <v>76</v>
      </c>
      <c r="F3" s="4" t="s">
        <v>76</v>
      </c>
    </row>
    <row r="4" customFormat="false" ht="22.35" hidden="false" customHeight="false" outlineLevel="0" collapsed="false">
      <c r="A4" s="2" t="s">
        <v>173</v>
      </c>
      <c r="B4" s="4" t="s">
        <v>617</v>
      </c>
      <c r="C4" s="4" t="s">
        <v>616</v>
      </c>
      <c r="D4" s="4" t="s">
        <v>614</v>
      </c>
      <c r="E4" s="4" t="s">
        <v>76</v>
      </c>
      <c r="F4" s="4" t="s">
        <v>76</v>
      </c>
    </row>
    <row r="5" customFormat="false" ht="22.35" hidden="false" customHeight="false" outlineLevel="0" collapsed="false">
      <c r="A5" s="2" t="s">
        <v>208</v>
      </c>
      <c r="B5" s="4" t="s">
        <v>613</v>
      </c>
      <c r="C5" s="4" t="s">
        <v>274</v>
      </c>
      <c r="D5" s="4" t="s">
        <v>614</v>
      </c>
      <c r="E5" s="4" t="s">
        <v>76</v>
      </c>
      <c r="F5" s="4" t="s">
        <v>76</v>
      </c>
    </row>
    <row r="6" customFormat="false" ht="22.35" hidden="false" customHeight="false" outlineLevel="0" collapsed="false">
      <c r="A6" s="2" t="s">
        <v>277</v>
      </c>
      <c r="B6" s="4" t="s">
        <v>613</v>
      </c>
      <c r="C6" s="4" t="s">
        <v>274</v>
      </c>
      <c r="D6" s="4" t="s">
        <v>614</v>
      </c>
      <c r="E6" s="4" t="s">
        <v>76</v>
      </c>
      <c r="F6" s="4" t="s">
        <v>76</v>
      </c>
    </row>
    <row r="7" customFormat="false" ht="22.35" hidden="false" customHeight="false" outlineLevel="0" collapsed="false">
      <c r="A7" s="2" t="s">
        <v>319</v>
      </c>
      <c r="B7" s="4" t="s">
        <v>618</v>
      </c>
      <c r="C7" s="4" t="s">
        <v>619</v>
      </c>
      <c r="D7" s="4" t="s">
        <v>614</v>
      </c>
      <c r="E7" s="4" t="s">
        <v>76</v>
      </c>
      <c r="F7" s="4" t="s">
        <v>76</v>
      </c>
    </row>
    <row r="8" customFormat="false" ht="22.35" hidden="false" customHeight="false" outlineLevel="0" collapsed="false">
      <c r="A8" s="2" t="s">
        <v>352</v>
      </c>
      <c r="B8" s="4" t="s">
        <v>383</v>
      </c>
      <c r="C8" s="4" t="s">
        <v>620</v>
      </c>
      <c r="D8" s="4" t="s">
        <v>614</v>
      </c>
      <c r="E8" s="4" t="s">
        <v>76</v>
      </c>
      <c r="F8" s="4" t="s">
        <v>76</v>
      </c>
    </row>
    <row r="9" customFormat="false" ht="22.35" hidden="false" customHeight="false" outlineLevel="0" collapsed="false">
      <c r="A9" s="2" t="s">
        <v>389</v>
      </c>
      <c r="B9" s="4" t="s">
        <v>621</v>
      </c>
      <c r="C9" s="4" t="s">
        <v>616</v>
      </c>
      <c r="D9" s="4" t="s">
        <v>614</v>
      </c>
      <c r="E9" s="4" t="s">
        <v>76</v>
      </c>
      <c r="F9" s="4" t="s">
        <v>76</v>
      </c>
    </row>
    <row r="10" customFormat="false" ht="22.35" hidden="false" customHeight="false" outlineLevel="0" collapsed="false">
      <c r="A10" s="2" t="s">
        <v>428</v>
      </c>
      <c r="B10" s="4" t="s">
        <v>622</v>
      </c>
      <c r="C10" s="4" t="s">
        <v>616</v>
      </c>
      <c r="D10" s="4" t="s">
        <v>614</v>
      </c>
      <c r="E10" s="4" t="s">
        <v>76</v>
      </c>
      <c r="F10" s="4" t="s">
        <v>76</v>
      </c>
    </row>
    <row r="11" customFormat="false" ht="22.35" hidden="false" customHeight="false" outlineLevel="0" collapsed="false">
      <c r="A11" s="2" t="s">
        <v>461</v>
      </c>
      <c r="B11" s="4" t="s">
        <v>623</v>
      </c>
      <c r="C11" s="4" t="s">
        <v>619</v>
      </c>
      <c r="D11" s="4" t="s">
        <v>614</v>
      </c>
      <c r="E11" s="4" t="s">
        <v>76</v>
      </c>
      <c r="F11" s="4" t="s">
        <v>76</v>
      </c>
    </row>
    <row r="12" customFormat="false" ht="22.35" hidden="false" customHeight="false" outlineLevel="0" collapsed="false">
      <c r="A12" s="2" t="s">
        <v>494</v>
      </c>
      <c r="B12" s="4" t="s">
        <v>624</v>
      </c>
      <c r="C12" s="4" t="s">
        <v>625</v>
      </c>
      <c r="D12" s="4" t="s">
        <v>614</v>
      </c>
      <c r="E12" s="4" t="s">
        <v>76</v>
      </c>
      <c r="F12" s="4" t="s">
        <v>76</v>
      </c>
    </row>
    <row r="13" customFormat="false" ht="22.35" hidden="false" customHeight="false" outlineLevel="0" collapsed="false">
      <c r="A13" s="2" t="s">
        <v>542</v>
      </c>
      <c r="B13" s="4" t="s">
        <v>617</v>
      </c>
      <c r="C13" s="4" t="s">
        <v>616</v>
      </c>
      <c r="D13" s="4" t="s">
        <v>614</v>
      </c>
      <c r="E13" s="4" t="s">
        <v>76</v>
      </c>
      <c r="F13" s="4" t="s">
        <v>76</v>
      </c>
    </row>
    <row r="14" customFormat="false" ht="22.35" hidden="false" customHeight="false" outlineLevel="0" collapsed="false">
      <c r="A14" s="2" t="s">
        <v>581</v>
      </c>
      <c r="B14" s="4" t="s">
        <v>626</v>
      </c>
      <c r="C14" s="4" t="s">
        <v>616</v>
      </c>
      <c r="D14" s="4" t="s">
        <v>614</v>
      </c>
      <c r="E14" s="4" t="s">
        <v>76</v>
      </c>
      <c r="F14" s="4" t="s">
        <v>76</v>
      </c>
    </row>
    <row r="16" customFormat="false" ht="30" hidden="false" customHeight="true" outlineLevel="0" collapsed="false">
      <c r="A16" s="5" t="s">
        <v>627</v>
      </c>
      <c r="B16" s="5"/>
      <c r="C16" s="5"/>
      <c r="D16" s="5"/>
      <c r="E16" s="5"/>
      <c r="F16" s="5"/>
    </row>
    <row r="17" customFormat="false" ht="30" hidden="false" customHeight="true" outlineLevel="0" collapsed="false">
      <c r="A17" s="6" t="s">
        <v>628</v>
      </c>
      <c r="B17" s="6"/>
      <c r="C17" s="6"/>
      <c r="D17" s="6"/>
      <c r="E17" s="6"/>
      <c r="F17" s="6"/>
    </row>
    <row r="18" customFormat="false" ht="30" hidden="false" customHeight="true" outlineLevel="0" collapsed="false">
      <c r="A18" s="6" t="s">
        <v>629</v>
      </c>
      <c r="B18" s="6"/>
      <c r="C18" s="6"/>
      <c r="D18" s="6"/>
      <c r="E18" s="6"/>
      <c r="F18" s="6"/>
    </row>
  </sheetData>
  <mergeCells count="3">
    <mergeCell ref="A16:F16"/>
    <mergeCell ref="A17:F17"/>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9"/>
    <col collapsed="false" customWidth="true" hidden="false" outlineLevel="0" max="7" min="7" style="0" width="10"/>
  </cols>
  <sheetData>
    <row r="1" customFormat="false" ht="27.75" hidden="false" customHeight="true" outlineLevel="0" collapsed="false">
      <c r="A1" s="1" t="s">
        <v>0</v>
      </c>
      <c r="B1" s="1" t="s">
        <v>15</v>
      </c>
      <c r="C1" s="1" t="s">
        <v>126</v>
      </c>
      <c r="D1" s="1" t="s">
        <v>76</v>
      </c>
      <c r="E1" s="1" t="s">
        <v>91</v>
      </c>
      <c r="F1" s="1" t="s">
        <v>630</v>
      </c>
      <c r="G1" s="1" t="s">
        <v>631</v>
      </c>
    </row>
    <row r="2" customFormat="false" ht="15" hidden="false" customHeight="false" outlineLevel="0" collapsed="false">
      <c r="A2" s="7" t="s">
        <v>9</v>
      </c>
      <c r="B2" s="8" t="n">
        <f aca="false">COUNTIFS(Criteria!$A$2:$A$158,$A2,Criteria!$H$2:$H$158,"Easy")</f>
        <v>10</v>
      </c>
      <c r="C2" s="8" t="n">
        <f aca="false">COUNTIFS(Criteria!$A$2:$A$158,$A2,Criteria!$H$2:$H$158,"Partly")</f>
        <v>0</v>
      </c>
      <c r="D2" s="8" t="n">
        <f aca="false">COUNTIFS(Criteria!$A$2:$A$158,$A2,Criteria!$H$2:$H$158,"No")</f>
        <v>4</v>
      </c>
      <c r="E2" s="8" t="n">
        <f aca="false">COUNTIFS(Criteria!$A$2:$A$158,$A2,Criteria!$H$2:$H$158,"n/a")</f>
        <v>1</v>
      </c>
      <c r="F2" s="8" t="n">
        <f aca="false">SUM(B2:E2)</f>
        <v>15</v>
      </c>
      <c r="G2" s="9" t="n">
        <f aca="false">IF(F2=0,0,B2/F2)</f>
        <v>0.666666666666667</v>
      </c>
    </row>
    <row r="3" customFormat="false" ht="15" hidden="false" customHeight="false" outlineLevel="0" collapsed="false">
      <c r="A3" s="7" t="s">
        <v>100</v>
      </c>
      <c r="B3" s="8" t="n">
        <f aca="false">COUNTIFS(Criteria!$A$2:$A$158,$A3,Criteria!$H$2:$H$158,"Easy")</f>
        <v>9</v>
      </c>
      <c r="C3" s="8" t="n">
        <f aca="false">COUNTIFS(Criteria!$A$2:$A$158,$A3,Criteria!$H$2:$H$158,"Partly")</f>
        <v>5</v>
      </c>
      <c r="D3" s="8" t="n">
        <f aca="false">COUNTIFS(Criteria!$A$2:$A$158,$A3,Criteria!$H$2:$H$158,"No")</f>
        <v>1</v>
      </c>
      <c r="E3" s="8" t="n">
        <f aca="false">COUNTIFS(Criteria!$A$2:$A$158,$A3,Criteria!$H$2:$H$158,"n/a")</f>
        <v>0</v>
      </c>
      <c r="F3" s="8" t="n">
        <f aca="false">SUM(B3:E3)</f>
        <v>15</v>
      </c>
      <c r="G3" s="9" t="n">
        <f aca="false">IF(F3=0,0,B3/F3)</f>
        <v>0.6</v>
      </c>
    </row>
    <row r="4" customFormat="false" ht="15" hidden="false" customHeight="false" outlineLevel="0" collapsed="false">
      <c r="A4" s="7" t="s">
        <v>173</v>
      </c>
      <c r="B4" s="8" t="n">
        <f aca="false">COUNTIFS(Criteria!$A$2:$A$158,$A4,Criteria!$H$2:$H$158,"Easy")</f>
        <v>2</v>
      </c>
      <c r="C4" s="8" t="n">
        <f aca="false">COUNTIFS(Criteria!$A$2:$A$158,$A4,Criteria!$H$2:$H$158,"Partly")</f>
        <v>5</v>
      </c>
      <c r="D4" s="8" t="n">
        <f aca="false">COUNTIFS(Criteria!$A$2:$A$158,$A4,Criteria!$H$2:$H$158,"No")</f>
        <v>1</v>
      </c>
      <c r="E4" s="8" t="n">
        <f aca="false">COUNTIFS(Criteria!$A$2:$A$158,$A4,Criteria!$H$2:$H$158,"n/a")</f>
        <v>0</v>
      </c>
      <c r="F4" s="8" t="n">
        <f aca="false">SUM(B4:E4)</f>
        <v>8</v>
      </c>
      <c r="G4" s="9" t="n">
        <f aca="false">IF(F4=0,0,B4/F4)</f>
        <v>0.25</v>
      </c>
    </row>
    <row r="5" customFormat="false" ht="15" hidden="false" customHeight="false" outlineLevel="0" collapsed="false">
      <c r="A5" s="7" t="s">
        <v>208</v>
      </c>
      <c r="B5" s="8" t="n">
        <f aca="false">COUNTIFS(Criteria!$A$2:$A$158,$A5,Criteria!$H$2:$H$158,"Easy")</f>
        <v>12</v>
      </c>
      <c r="C5" s="8" t="n">
        <f aca="false">COUNTIFS(Criteria!$A$2:$A$158,$A5,Criteria!$H$2:$H$158,"Partly")</f>
        <v>2</v>
      </c>
      <c r="D5" s="8" t="n">
        <f aca="false">COUNTIFS(Criteria!$A$2:$A$158,$A5,Criteria!$H$2:$H$158,"No")</f>
        <v>2</v>
      </c>
      <c r="E5" s="8" t="n">
        <f aca="false">COUNTIFS(Criteria!$A$2:$A$158,$A5,Criteria!$H$2:$H$158,"n/a")</f>
        <v>1</v>
      </c>
      <c r="F5" s="8" t="n">
        <f aca="false">SUM(B5:E5)</f>
        <v>17</v>
      </c>
      <c r="G5" s="9" t="n">
        <f aca="false">IF(F5=0,0,B5/F5)</f>
        <v>0.705882352941177</v>
      </c>
    </row>
    <row r="6" customFormat="false" ht="15" hidden="false" customHeight="false" outlineLevel="0" collapsed="false">
      <c r="A6" s="7" t="s">
        <v>277</v>
      </c>
      <c r="B6" s="8" t="n">
        <f aca="false">COUNTIFS(Criteria!$A$2:$A$158,$A6,Criteria!$H$2:$H$158,"Easy")</f>
        <v>10</v>
      </c>
      <c r="C6" s="8" t="n">
        <f aca="false">COUNTIFS(Criteria!$A$2:$A$158,$A6,Criteria!$H$2:$H$158,"Partly")</f>
        <v>0</v>
      </c>
      <c r="D6" s="8" t="n">
        <f aca="false">COUNTIFS(Criteria!$A$2:$A$158,$A6,Criteria!$H$2:$H$158,"No")</f>
        <v>2</v>
      </c>
      <c r="E6" s="8" t="n">
        <f aca="false">COUNTIFS(Criteria!$A$2:$A$158,$A6,Criteria!$H$2:$H$158,"n/a")</f>
        <v>1</v>
      </c>
      <c r="F6" s="8" t="n">
        <f aca="false">SUM(B6:E6)</f>
        <v>13</v>
      </c>
      <c r="G6" s="9" t="n">
        <f aca="false">IF(F6=0,0,B6/F6)</f>
        <v>0.769230769230769</v>
      </c>
    </row>
    <row r="7" customFormat="false" ht="15" hidden="false" customHeight="false" outlineLevel="0" collapsed="false">
      <c r="A7" s="7" t="s">
        <v>319</v>
      </c>
      <c r="B7" s="8" t="n">
        <f aca="false">COUNTIFS(Criteria!$A$2:$A$158,$A7,Criteria!$H$2:$H$158,"Easy")</f>
        <v>5</v>
      </c>
      <c r="C7" s="8" t="n">
        <f aca="false">COUNTIFS(Criteria!$A$2:$A$158,$A7,Criteria!$H$2:$H$158,"Partly")</f>
        <v>2</v>
      </c>
      <c r="D7" s="8" t="n">
        <f aca="false">COUNTIFS(Criteria!$A$2:$A$158,$A7,Criteria!$H$2:$H$158,"No")</f>
        <v>1</v>
      </c>
      <c r="E7" s="8" t="n">
        <f aca="false">COUNTIFS(Criteria!$A$2:$A$158,$A7,Criteria!$H$2:$H$158,"n/a")</f>
        <v>0</v>
      </c>
      <c r="F7" s="8" t="n">
        <f aca="false">SUM(B7:E7)</f>
        <v>8</v>
      </c>
      <c r="G7" s="9" t="n">
        <f aca="false">IF(F7=0,0,B7/F7)</f>
        <v>0.625</v>
      </c>
    </row>
    <row r="8" customFormat="false" ht="15" hidden="false" customHeight="false" outlineLevel="0" collapsed="false">
      <c r="A8" s="7" t="s">
        <v>352</v>
      </c>
      <c r="B8" s="8" t="n">
        <f aca="false">COUNTIFS(Criteria!$A$2:$A$158,$A8,Criteria!$H$2:$H$158,"Easy")</f>
        <v>8</v>
      </c>
      <c r="C8" s="8" t="n">
        <f aca="false">COUNTIFS(Criteria!$A$2:$A$158,$A8,Criteria!$H$2:$H$158,"Partly")</f>
        <v>1</v>
      </c>
      <c r="D8" s="8" t="n">
        <f aca="false">COUNTIFS(Criteria!$A$2:$A$158,$A8,Criteria!$H$2:$H$158,"No")</f>
        <v>1</v>
      </c>
      <c r="E8" s="8" t="n">
        <f aca="false">COUNTIFS(Criteria!$A$2:$A$158,$A8,Criteria!$H$2:$H$158,"n/a")</f>
        <v>0</v>
      </c>
      <c r="F8" s="8" t="n">
        <f aca="false">SUM(B8:E8)</f>
        <v>10</v>
      </c>
      <c r="G8" s="9" t="n">
        <f aca="false">IF(F8=0,0,B8/F8)</f>
        <v>0.8</v>
      </c>
    </row>
    <row r="9" customFormat="false" ht="15" hidden="false" customHeight="false" outlineLevel="0" collapsed="false">
      <c r="A9" s="7" t="s">
        <v>389</v>
      </c>
      <c r="B9" s="8" t="n">
        <f aca="false">COUNTIFS(Criteria!$A$2:$A$158,$A9,Criteria!$H$2:$H$158,"Easy")</f>
        <v>9</v>
      </c>
      <c r="C9" s="8" t="n">
        <f aca="false">COUNTIFS(Criteria!$A$2:$A$158,$A9,Criteria!$H$2:$H$158,"Partly")</f>
        <v>3</v>
      </c>
      <c r="D9" s="8" t="n">
        <f aca="false">COUNTIFS(Criteria!$A$2:$A$158,$A9,Criteria!$H$2:$H$158,"No")</f>
        <v>2</v>
      </c>
      <c r="E9" s="8" t="n">
        <f aca="false">COUNTIFS(Criteria!$A$2:$A$158,$A9,Criteria!$H$2:$H$158,"n/a")</f>
        <v>0</v>
      </c>
      <c r="F9" s="8" t="n">
        <f aca="false">SUM(B9:E9)</f>
        <v>14</v>
      </c>
      <c r="G9" s="9" t="n">
        <f aca="false">IF(F9=0,0,B9/F9)</f>
        <v>0.642857142857143</v>
      </c>
    </row>
    <row r="10" customFormat="false" ht="15" hidden="false" customHeight="false" outlineLevel="0" collapsed="false">
      <c r="A10" s="7" t="s">
        <v>428</v>
      </c>
      <c r="B10" s="8" t="n">
        <f aca="false">COUNTIFS(Criteria!$A$2:$A$158,$A10,Criteria!$H$2:$H$158,"Easy")</f>
        <v>9</v>
      </c>
      <c r="C10" s="8" t="n">
        <f aca="false">COUNTIFS(Criteria!$A$2:$A$158,$A10,Criteria!$H$2:$H$158,"Partly")</f>
        <v>2</v>
      </c>
      <c r="D10" s="8" t="n">
        <f aca="false">COUNTIFS(Criteria!$A$2:$A$158,$A10,Criteria!$H$2:$H$158,"No")</f>
        <v>1</v>
      </c>
      <c r="E10" s="8" t="n">
        <f aca="false">COUNTIFS(Criteria!$A$2:$A$158,$A10,Criteria!$H$2:$H$158,"n/a")</f>
        <v>0</v>
      </c>
      <c r="F10" s="8" t="n">
        <f aca="false">SUM(B10:E10)</f>
        <v>12</v>
      </c>
      <c r="G10" s="9" t="n">
        <f aca="false">IF(F10=0,0,B10/F10)</f>
        <v>0.75</v>
      </c>
    </row>
    <row r="11" customFormat="false" ht="15" hidden="false" customHeight="false" outlineLevel="0" collapsed="false">
      <c r="A11" s="7" t="s">
        <v>461</v>
      </c>
      <c r="B11" s="8" t="n">
        <f aca="false">COUNTIFS(Criteria!$A$2:$A$158,$A11,Criteria!$H$2:$H$158,"Easy")</f>
        <v>8</v>
      </c>
      <c r="C11" s="8" t="n">
        <f aca="false">COUNTIFS(Criteria!$A$2:$A$158,$A11,Criteria!$H$2:$H$158,"Partly")</f>
        <v>2</v>
      </c>
      <c r="D11" s="8" t="n">
        <f aca="false">COUNTIFS(Criteria!$A$2:$A$158,$A11,Criteria!$H$2:$H$158,"No")</f>
        <v>1</v>
      </c>
      <c r="E11" s="8" t="n">
        <f aca="false">COUNTIFS(Criteria!$A$2:$A$158,$A11,Criteria!$H$2:$H$158,"n/a")</f>
        <v>0</v>
      </c>
      <c r="F11" s="8" t="n">
        <f aca="false">SUM(B11:E11)</f>
        <v>11</v>
      </c>
      <c r="G11" s="9" t="n">
        <f aca="false">IF(F11=0,0,B11/F11)</f>
        <v>0.727272727272727</v>
      </c>
    </row>
    <row r="12" customFormat="false" ht="15" hidden="false" customHeight="false" outlineLevel="0" collapsed="false">
      <c r="A12" s="7" t="s">
        <v>494</v>
      </c>
      <c r="B12" s="8" t="n">
        <f aca="false">COUNTIFS(Criteria!$A$2:$A$158,$A12,Criteria!$H$2:$H$158,"Easy")</f>
        <v>7</v>
      </c>
      <c r="C12" s="8" t="n">
        <f aca="false">COUNTIFS(Criteria!$A$2:$A$158,$A12,Criteria!$H$2:$H$158,"Partly")</f>
        <v>5</v>
      </c>
      <c r="D12" s="8" t="n">
        <f aca="false">COUNTIFS(Criteria!$A$2:$A$158,$A12,Criteria!$H$2:$H$158,"No")</f>
        <v>1</v>
      </c>
      <c r="E12" s="8" t="n">
        <f aca="false">COUNTIFS(Criteria!$A$2:$A$158,$A12,Criteria!$H$2:$H$158,"n/a")</f>
        <v>0</v>
      </c>
      <c r="F12" s="8" t="n">
        <f aca="false">SUM(B12:E12)</f>
        <v>13</v>
      </c>
      <c r="G12" s="9" t="n">
        <f aca="false">IF(F12=0,0,B12/F12)</f>
        <v>0.538461538461538</v>
      </c>
    </row>
    <row r="13" customFormat="false" ht="15" hidden="false" customHeight="false" outlineLevel="0" collapsed="false">
      <c r="A13" s="7" t="s">
        <v>542</v>
      </c>
      <c r="B13" s="8" t="n">
        <f aca="false">COUNTIFS(Criteria!$A$2:$A$158,$A13,Criteria!$H$2:$H$158,"Easy")</f>
        <v>9</v>
      </c>
      <c r="C13" s="8" t="n">
        <f aca="false">COUNTIFS(Criteria!$A$2:$A$158,$A13,Criteria!$H$2:$H$158,"Partly")</f>
        <v>3</v>
      </c>
      <c r="D13" s="8" t="n">
        <f aca="false">COUNTIFS(Criteria!$A$2:$A$158,$A13,Criteria!$H$2:$H$158,"No")</f>
        <v>1</v>
      </c>
      <c r="E13" s="8" t="n">
        <f aca="false">COUNTIFS(Criteria!$A$2:$A$158,$A13,Criteria!$H$2:$H$158,"n/a")</f>
        <v>0</v>
      </c>
      <c r="F13" s="8" t="n">
        <f aca="false">SUM(B13:E13)</f>
        <v>13</v>
      </c>
      <c r="G13" s="9" t="n">
        <f aca="false">IF(F13=0,0,B13/F13)</f>
        <v>0.692307692307692</v>
      </c>
    </row>
    <row r="14" customFormat="false" ht="15" hidden="false" customHeight="false" outlineLevel="0" collapsed="false">
      <c r="A14" s="7" t="s">
        <v>581</v>
      </c>
      <c r="B14" s="8" t="n">
        <f aca="false">COUNTIFS(Criteria!$A$2:$A$158,$A14,Criteria!$H$2:$H$158,"Easy")</f>
        <v>4</v>
      </c>
      <c r="C14" s="8" t="n">
        <f aca="false">COUNTIFS(Criteria!$A$2:$A$158,$A14,Criteria!$H$2:$H$158,"Partly")</f>
        <v>3</v>
      </c>
      <c r="D14" s="8" t="n">
        <f aca="false">COUNTIFS(Criteria!$A$2:$A$158,$A14,Criteria!$H$2:$H$158,"No")</f>
        <v>1</v>
      </c>
      <c r="E14" s="8" t="n">
        <f aca="false">COUNTIFS(Criteria!$A$2:$A$158,$A14,Criteria!$H$2:$H$158,"n/a")</f>
        <v>0</v>
      </c>
      <c r="F14" s="8" t="n">
        <f aca="false">SUM(B14:E14)</f>
        <v>8</v>
      </c>
      <c r="G14" s="9" t="n">
        <f aca="false">IF(F14=0,0,B14/F14)</f>
        <v>0.5</v>
      </c>
    </row>
    <row r="15" customFormat="false" ht="15" hidden="false" customHeight="false" outlineLevel="0" collapsed="false">
      <c r="A15" s="7" t="s">
        <v>632</v>
      </c>
      <c r="B15" s="10" t="n">
        <f aca="false">SUM(B2:B14)</f>
        <v>102</v>
      </c>
      <c r="C15" s="10" t="n">
        <f aca="false">SUM(C2:C14)</f>
        <v>33</v>
      </c>
      <c r="D15" s="10" t="n">
        <f aca="false">SUM(D2:D14)</f>
        <v>19</v>
      </c>
      <c r="E15" s="10" t="n">
        <f aca="false">SUM(E2:E14)</f>
        <v>3</v>
      </c>
      <c r="F15" s="10" t="n">
        <f aca="false">SUM(F2:F14)</f>
        <v>157</v>
      </c>
      <c r="G15" s="11" t="n">
        <f aca="false">IF(F15=0,0,B15/F15)</f>
        <v>0.64968152866242</v>
      </c>
    </row>
    <row r="17" customFormat="false" ht="15" hidden="false" customHeight="false" outlineLevel="0" collapsed="false">
      <c r="A17" s="12" t="s">
        <v>633</v>
      </c>
    </row>
    <row r="18" customFormat="false" ht="25.5" hidden="false" customHeight="true" outlineLevel="0" collapsed="false">
      <c r="A18" s="13" t="s">
        <v>15</v>
      </c>
      <c r="B18" s="6" t="s">
        <v>634</v>
      </c>
      <c r="C18" s="6"/>
      <c r="D18" s="6"/>
      <c r="E18" s="6"/>
      <c r="F18" s="6"/>
      <c r="G18" s="6"/>
    </row>
    <row r="19" customFormat="false" ht="25.5" hidden="false" customHeight="true" outlineLevel="0" collapsed="false">
      <c r="A19" s="14" t="s">
        <v>126</v>
      </c>
      <c r="B19" s="6" t="s">
        <v>635</v>
      </c>
      <c r="C19" s="6"/>
      <c r="D19" s="6"/>
      <c r="E19" s="6"/>
      <c r="F19" s="6"/>
      <c r="G19" s="6"/>
    </row>
    <row r="20" customFormat="false" ht="25.5" hidden="false" customHeight="true" outlineLevel="0" collapsed="false">
      <c r="A20" s="15" t="s">
        <v>76</v>
      </c>
      <c r="B20" s="6" t="s">
        <v>636</v>
      </c>
      <c r="C20" s="6"/>
      <c r="D20" s="6"/>
      <c r="E20" s="6"/>
      <c r="F20" s="6"/>
      <c r="G20" s="6"/>
    </row>
    <row r="21" customFormat="false" ht="25.5" hidden="false" customHeight="true" outlineLevel="0" collapsed="false">
      <c r="A21" s="16" t="s">
        <v>91</v>
      </c>
      <c r="B21" s="6" t="s">
        <v>637</v>
      </c>
      <c r="C21" s="6"/>
      <c r="D21" s="6"/>
      <c r="E21" s="6"/>
      <c r="F21" s="6"/>
      <c r="G21" s="6"/>
    </row>
    <row r="22" customFormat="false" ht="25.5" hidden="false" customHeight="true" outlineLevel="0" collapsed="false">
      <c r="A22" s="12" t="s">
        <v>638</v>
      </c>
      <c r="B22" s="6" t="s">
        <v>639</v>
      </c>
      <c r="C22" s="6"/>
      <c r="D22" s="6"/>
      <c r="E22" s="6"/>
      <c r="F22" s="6"/>
      <c r="G22" s="6"/>
    </row>
    <row r="23" customFormat="false" ht="25.5" hidden="false" customHeight="true" outlineLevel="0" collapsed="false">
      <c r="A23" s="12" t="s">
        <v>640</v>
      </c>
      <c r="B23" s="6" t="s">
        <v>641</v>
      </c>
      <c r="C23" s="6"/>
      <c r="D23" s="6"/>
      <c r="E23" s="6"/>
      <c r="F23" s="6"/>
      <c r="G23" s="6"/>
    </row>
  </sheetData>
  <mergeCells count="6">
    <mergeCell ref="B18:G18"/>
    <mergeCell ref="B19:G19"/>
    <mergeCell ref="B20:G20"/>
    <mergeCell ref="B21:G21"/>
    <mergeCell ref="B22:G22"/>
    <mergeCell ref="B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2026-10-07T14:55:45Z</dcterms:created>
  <dc:creator>openpyxl</dc:creator>
  <dc:description/>
  <dc:language>en-US</dc:language>
  <cp:lastModifiedBy/>
  <dcterms:modified xsi:type="dcterms:W3CDTF">2026-10-07T14:55:45Z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